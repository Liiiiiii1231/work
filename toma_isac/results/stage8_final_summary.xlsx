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f05d8aa3640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4fe849b7cc46c2"/>
    <x:sheet xmlns:r="http://schemas.openxmlformats.org/officeDocument/2006/relationships" name="Anomalies" sheetId="2" r:id="Rb793befc182640d7"/>
    <x:sheet xmlns:r="http://schemas.openxmlformats.org/officeDocument/2006/relationships" name="MC Raw" sheetId="3" r:id="R2a422f4b8e7b45c3"/>
    <x:sheet xmlns:r="http://schemas.openxmlformats.org/officeDocument/2006/relationships" name="Rho Raw" sheetId="4" r:id="R9d337adcdc424c54"/>
    <x:sheet xmlns:r="http://schemas.openxmlformats.org/officeDocument/2006/relationships" name="Pdl Raw" sheetId="5" r:id="Reb0afa8ce75f41a1"/>
    <x:sheet xmlns:r="http://schemas.openxmlformats.org/officeDocument/2006/relationships" name="Cable Raw" sheetId="6" r:id="R3992c182ff3847c6"/>
    <x:sheet xmlns:r="http://schemas.openxmlformats.org/officeDocument/2006/relationships" name="Load Raw" sheetId="7" r:id="Rd74e9e09ffab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7F6000"/>
      </x:patternFill>
    </x:fill>
    <x:fill>
      <x:patternFill patternType="solid">
        <x:fgColor rgb="FFBF9000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3" fillId="5" borderId="0" xfId="0" applyNumberFormat="1" applyFont="1" applyFill="1" applyBorder="1"/>
    <x:xf numFmtId="200" fontId="0" fillId="5" borderId="1" xfId="0" applyNumberFormat="1" applyFont="1" applyFill="1" applyBorder="1"/>
    <x:xf numFmtId="20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1b17594174cf2" /><Relationship Type="http://schemas.openxmlformats.org/officeDocument/2006/relationships/theme" Target="/xl/theme/theme1.xml" Id="Rcdf00b39bf8c427d" /><Relationship Type="http://schemas.openxmlformats.org/officeDocument/2006/relationships/sharedStrings" Target="/xl/sharedStrings.xml" Id="R925f67d8123e45b2" /><Relationship Type="http://schemas.openxmlformats.org/officeDocument/2006/relationships/worksheet" Target="/xl/worksheets/sheet1.xml" Id="R8b4fe849b7cc46c2" /><Relationship Type="http://schemas.openxmlformats.org/officeDocument/2006/relationships/worksheet" Target="/xl/worksheets/sheet2.xml" Id="Rb793befc182640d7" /><Relationship Type="http://schemas.openxmlformats.org/officeDocument/2006/relationships/worksheet" Target="/xl/worksheets/sheet3.xml" Id="R2a422f4b8e7b45c3" /><Relationship Type="http://schemas.openxmlformats.org/officeDocument/2006/relationships/worksheet" Target="/xl/worksheets/sheet4.xml" Id="R9d337adcdc424c54" /><Relationship Type="http://schemas.openxmlformats.org/officeDocument/2006/relationships/worksheet" Target="/xl/worksheets/sheet5.xml" Id="Reb0afa8ce75f41a1" /><Relationship Type="http://schemas.openxmlformats.org/officeDocument/2006/relationships/worksheet" Target="/xl/worksheets/sheet6.xml" Id="R3992c182ff3847c6" /><Relationship Type="http://schemas.openxmlformats.org/officeDocument/2006/relationships/worksheet" Target="/xl/worksheets/sheet7.xml" Id="Rd74e9e09ffab41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.380000114440918" hidden="0" customWidth="1"/>
    <x:col min="4" max="4" width="7.380000114440918" hidden="0" customWidth="1"/>
    <x:col min="5" max="5" width="7.380000114440918" hidden="0" customWidth="1"/>
    <x:col min="6" max="6" width="7.380000114440918" hidden="0" customWidth="1"/>
    <x:col min="7" max="7" width="7.380000114440918" hidden="0" customWidth="1"/>
    <x:col min="8" max="8" width="7.380000114440918" hidden="0" customWidth="1"/>
    <x:col min="9" max="9" width="12.630000114440918" hidden="0" customWidth="1"/>
    <x:col min="10" max="10" width="5.630000114440918" hidden="0" customWidth="1"/>
    <x:col min="11" max="11" width="5.630000114440918" hidden="0" customWidth="1"/>
    <x:col min="12" max="12" width="5.630000114440918" hidden="0" customWidth="1"/>
    <x:col min="13" max="13" width="5.630000114440918" hidden="0" customWidth="1"/>
    <x:col min="14" max="14" width="5.630000114440918" hidden="0" customWidth="1"/>
    <x:col min="15" max="15" width="10.630000114440918" hidden="0" customWidth="1"/>
    <x:col min="16" max="16" width="12" hidden="0" customWidth="1"/>
    <x:col min="17" max="17" width="9.25" hidden="0" customWidth="1"/>
    <x:col min="18" max="18" width="12" hidden="0" customWidth="1"/>
    <x:col min="19" max="19" width="6" hidden="0" customWidth="1"/>
    <x:col min="20" max="20" width="7.630000114440918" hidden="0" customWidth="1"/>
    <x:col min="21" max="21" width="7.880000114440918" hidden="0" customWidth="1"/>
  </x:cols>
  <x:sheetData>
    <x:row r="1" ht="28" customHeight="1">
      <x:c r="A1" s="13" t="str">
        <x:v>Stage 8 Final Results Summary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</x:row>
    <x:row r="3">
      <x:c r="A3" s="18" t="str">
        <x:v>Checked groups</x:v>
      </x:c>
      <x:c r="B3" s="18" t="n">
        <x:v>19</x:v>
      </x:c>
      <x:c r="D3" s="18" t="str">
        <x:v>Proposed group rank #1</x:v>
      </x:c>
      <x:c r="E3" s="18" t="n">
        <x:v>19</x:v>
      </x:c>
      <x:c r="G3" s="18" t="str">
        <x:v>Rank failures</x:v>
      </x:c>
      <x:c r="H3" s="18" t="n">
        <x:v>0</x:v>
      </x:c>
      <x:c r="J3" s="18" t="str">
        <x:v>MC Proposed mean</x:v>
      </x:c>
      <x:c r="K3" s="18" t="n">
        <x:v>10.917242371470293</x:v>
      </x:c>
    </x:row>
    <x:row r="4">
      <x:c r="A4" s="18" t="str">
        <x:v>Scene rows</x:v>
      </x:c>
      <x:c r="B4" s="18" t="n">
        <x:v>190</x:v>
      </x:c>
      <x:c r="D4" s="18" t="str">
        <x:v>Proposed scene wins</x:v>
      </x:c>
      <x:c r="E4" s="18" t="n">
        <x:v>190</x:v>
      </x:c>
      <x:c r="G4" s="18" t="str">
        <x:v>Potential &gt;2σ outliers</x:v>
      </x:c>
      <x:c r="H4" s="18" t="n">
        <x:v>3</x:v>
      </x:c>
      <x:c r="J4" s="18" t="str">
        <x:v>MC Proposed std</x:v>
      </x:c>
      <x:c r="K4" s="18" t="n">
        <x:v>0.10963149879776367</x:v>
      </x:c>
    </x:row>
    <x:row r="7">
      <x:c r="A7" s="22" t="str">
        <x:v>Experiment</x:v>
      </x:c>
      <x:c r="B7" s="22" t="str">
        <x:v>Condition</x:v>
      </x:c>
      <x:c r="C7" s="22" t="str">
        <x:v>N</x:v>
      </x:c>
      <x:c r="D7" s="22" t="str">
        <x:v>B1 Mean</x:v>
      </x:c>
      <x:c r="E7" s="22" t="str">
        <x:v>B2 Mean</x:v>
      </x:c>
      <x:c r="F7" s="22" t="str">
        <x:v>B3 Mean</x:v>
      </x:c>
      <x:c r="G7" s="22" t="str">
        <x:v>B4 Mean</x:v>
      </x:c>
      <x:c r="H7" s="22" t="str">
        <x:v>B5 Mean</x:v>
      </x:c>
      <x:c r="I7" s="22" t="str">
        <x:v>Proposed Mean</x:v>
      </x:c>
      <x:c r="J7" s="22" t="str">
        <x:v>B1 Std</x:v>
      </x:c>
      <x:c r="K7" s="22" t="str">
        <x:v>B2 Std</x:v>
      </x:c>
      <x:c r="L7" s="22" t="str">
        <x:v>B3 Std</x:v>
      </x:c>
      <x:c r="M7" s="22" t="str">
        <x:v>B4 Std</x:v>
      </x:c>
      <x:c r="N7" s="22" t="str">
        <x:v>B5 Std</x:v>
      </x:c>
      <x:c r="O7" s="22" t="str">
        <x:v>Proposed Std</x:v>
      </x:c>
      <x:c r="P7" s="22" t="str">
        <x:v>Proposed Rank</x:v>
      </x:c>
      <x:c r="Q7" s="22" t="str">
        <x:v>Scene Wins</x:v>
      </x:c>
      <x:c r="R7" s="22" t="str">
        <x:v>Runner-up</x:v>
      </x:c>
      <x:c r="S7" s="22" t="str">
        <x:v>Margin</x:v>
      </x:c>
      <x:c r="T7" s="22" t="str">
        <x:v>Prop Min</x:v>
      </x:c>
      <x:c r="U7" s="22" t="str">
        <x:v>Prop Max</x:v>
      </x:c>
    </x:row>
    <x:row r="8">
      <x:c r="A8" t="str">
        <x:v>Monte Carlo</x:v>
      </x:c>
      <x:c r="B8" t="str">
        <x:v>baseline</x:v>
      </x:c>
      <x:c r="C8" t="n">
        <x:v>10</x:v>
      </x:c>
      <x:c r="D8" s="26" t="n">
        <x:f>AVERAGE('MC Raw'!B2:B11)</x:f>
        <x:v>8.591504182031006</x:v>
      </x:c>
      <x:c r="E8" s="26" t="n">
        <x:f>AVERAGE('MC Raw'!G2:G11)</x:f>
        <x:v>10.307853613348367</x:v>
      </x:c>
      <x:c r="F8" s="26" t="n">
        <x:f>AVERAGE('MC Raw'!L2:L11)</x:f>
        <x:v>7.847269872097826</x:v>
      </x:c>
      <x:c r="G8" s="26" t="n">
        <x:f>AVERAGE('MC Raw'!Q2:Q11)</x:f>
        <x:v>5.943311848006155</x:v>
      </x:c>
      <x:c r="H8" s="26" t="n">
        <x:f>AVERAGE('MC Raw'!V2:V11)</x:f>
        <x:v>2.999604910517479</x:v>
      </x:c>
      <x:c r="I8" s="29" t="n">
        <x:f>AVERAGE('MC Raw'!AA2:AA11)</x:f>
        <x:v>10.917242371470294</x:v>
      </x:c>
      <x:c r="J8" s="26" t="n">
        <x:f>STDEV.P('MC Raw'!B2:B11)</x:f>
        <x:v>0.5046722623291353</x:v>
      </x:c>
      <x:c r="K8" s="26" t="n">
        <x:f>STDEV.P('MC Raw'!G2:G11)</x:f>
        <x:v>0.26849428364537026</x:v>
      </x:c>
      <x:c r="L8" s="26" t="n">
        <x:f>STDEV.P('MC Raw'!L2:L11)</x:f>
        <x:v>0.2976394290580352</x:v>
      </x:c>
      <x:c r="M8" s="26" t="n">
        <x:f>STDEV.P('MC Raw'!Q2:Q11)</x:f>
        <x:v>0.42475552027036845</x:v>
      </x:c>
      <x:c r="N8" s="26" t="n">
        <x:f>STDEV.P('MC Raw'!V2:V11)</x:f>
        <x:v>0.2722144098373553</x:v>
      </x:c>
      <x:c r="O8" s="29" t="n">
        <x:f>STDEV.P('MC Raw'!AA2:AA11)</x:f>
        <x:v>0.10963149879776367</x:v>
      </x:c>
      <x:c r="P8" t="n">
        <x:f>1+COUNTIF(D8:H8,"&gt;"&amp;I8)</x:f>
        <x:v>1</x:v>
      </x:c>
      <x:c r="Q8" t="n">
        <x:v>10</x:v>
      </x:c>
      <x:c r="R8" t="str">
        <x:v>B2</x:v>
      </x:c>
      <x:c r="S8" s="26" t="n">
        <x:f>I8-MAX(D8:H8)</x:f>
        <x:v>0.609388758121927</x:v>
      </x:c>
      <x:c r="T8" s="26" t="n">
        <x:f>MIN('MC Raw'!AA2:AA11)</x:f>
        <x:v>10.740321753695746</x:v>
      </x:c>
      <x:c r="U8" s="26" t="n">
        <x:f>MAX('MC Raw'!AA2:AA11)</x:f>
        <x:v>11.067623029300515</x:v>
      </x:c>
    </x:row>
    <x:row r="9">
      <x:c r="A9" t="str">
        <x:v>rho_si</x:v>
      </x:c>
      <x:c r="B9" t="str">
        <x:v>0.0001</x:v>
      </x:c>
      <x:c r="C9" t="n">
        <x:v>10</x:v>
      </x:c>
      <x:c r="D9" s="26" t="n">
        <x:f>AVERAGE('Rho Raw'!D42:D51)</x:f>
        <x:v>8.353462914003966</x:v>
      </x:c>
      <x:c r="E9" s="26" t="n">
        <x:f>AVERAGE('Rho Raw'!E42:E51)</x:f>
        <x:v>10.265824425389011</x:v>
      </x:c>
      <x:c r="F9" s="26" t="n">
        <x:f>AVERAGE('Rho Raw'!F42:F51)</x:f>
        <x:v>7.6838320291867195</x:v>
      </x:c>
      <x:c r="G9" s="26" t="n">
        <x:f>AVERAGE('Rho Raw'!G42:G51)</x:f>
        <x:v>5.697144240227947</x:v>
      </x:c>
      <x:c r="H9" s="26" t="n">
        <x:f>AVERAGE('Rho Raw'!H42:H51)</x:f>
        <x:v>2.72602815793113</x:v>
      </x:c>
      <x:c r="I9" s="29" t="n">
        <x:f>AVERAGE('Rho Raw'!I42:I51)</x:f>
        <x:v>10.891806964073671</x:v>
      </x:c>
      <x:c r="J9" s="26" t="n">
        <x:f>STDEV.P('Rho Raw'!D42:D51)</x:f>
        <x:v>0.3215445097808068</x:v>
      </x:c>
      <x:c r="K9" s="26" t="n">
        <x:f>STDEV.P('Rho Raw'!E42:E51)</x:f>
        <x:v>0.19791007354641235</x:v>
      </x:c>
      <x:c r="L9" s="26" t="n">
        <x:f>STDEV.P('Rho Raw'!F42:F51)</x:f>
        <x:v>0.3140128777176818</x:v>
      </x:c>
      <x:c r="M9" s="26" t="n">
        <x:f>STDEV.P('Rho Raw'!G42:G51)</x:f>
        <x:v>0.4278660122861041</x:v>
      </x:c>
      <x:c r="N9" s="26" t="n">
        <x:f>STDEV.P('Rho Raw'!H42:H51)</x:f>
        <x:v>0.28149451019218935</x:v>
      </x:c>
      <x:c r="O9" s="29" t="n">
        <x:f>STDEV.P('Rho Raw'!I42:I51)</x:f>
        <x:v>0.13049618963394655</x:v>
      </x:c>
      <x:c r="P9" t="n">
        <x:f>1+COUNTIF(D9:H9,"&gt;"&amp;I9)</x:f>
        <x:v>1</x:v>
      </x:c>
      <x:c r="Q9" t="n">
        <x:v>10</x:v>
      </x:c>
      <x:c r="R9" t="str">
        <x:v>B2</x:v>
      </x:c>
      <x:c r="S9" s="26" t="n">
        <x:f>I9-MAX(D9:H9)</x:f>
        <x:v>0.62598253868466</x:v>
      </x:c>
      <x:c r="T9" s="26" t="n">
        <x:f>MIN('Rho Raw'!I42:I51)</x:f>
        <x:v>10.689392996996661</x:v>
      </x:c>
      <x:c r="U9" s="26" t="n">
        <x:f>MAX('Rho Raw'!I42:I51)</x:f>
        <x:v>11.091444133273601</x:v>
      </x:c>
    </x:row>
    <x:row r="10">
      <x:c r="A10" t="str">
        <x:v>rho_si</x:v>
      </x:c>
      <x:c r="B10" t="str">
        <x:v>1e-05</x:v>
      </x:c>
      <x:c r="C10" t="n">
        <x:v>10</x:v>
      </x:c>
      <x:c r="D10" s="26" t="n">
        <x:f>AVERAGE('Rho Raw'!D32:D41)</x:f>
        <x:v>8.493874340434008</x:v>
      </x:c>
      <x:c r="E10" s="26" t="n">
        <x:f>AVERAGE('Rho Raw'!E32:E41)</x:f>
        <x:v>10.34694963186968</x:v>
      </x:c>
      <x:c r="F10" s="26" t="n">
        <x:f>AVERAGE('Rho Raw'!F32:F41)</x:f>
        <x:v>7.824215732720473</x:v>
      </x:c>
      <x:c r="G10" s="26" t="n">
        <x:f>AVERAGE('Rho Raw'!G32:G41)</x:f>
        <x:v>5.911528776401713</x:v>
      </x:c>
      <x:c r="H10" s="26" t="n">
        <x:f>AVERAGE('Rho Raw'!H32:H41)</x:f>
        <x:v>2.9551610457044837</x:v>
      </x:c>
      <x:c r="I10" s="29" t="n">
        <x:f>AVERAGE('Rho Raw'!I32:I41)</x:f>
        <x:v>10.923449360242447</x:v>
      </x:c>
      <x:c r="J10" s="26" t="n">
        <x:f>STDEV.P('Rho Raw'!D32:D41)</x:f>
        <x:v>0.46230237562012566</x:v>
      </x:c>
      <x:c r="K10" s="26" t="n">
        <x:f>STDEV.P('Rho Raw'!E32:E41)</x:f>
        <x:v>0.17297456740258252</x:v>
      </x:c>
      <x:c r="L10" s="26" t="n">
        <x:f>STDEV.P('Rho Raw'!F32:F41)</x:f>
        <x:v>0.295076421321702</x:v>
      </x:c>
      <x:c r="M10" s="26" t="n">
        <x:f>STDEV.P('Rho Raw'!G32:G41)</x:f>
        <x:v>0.4252567406514273</x:v>
      </x:c>
      <x:c r="N10" s="26" t="n">
        <x:f>STDEV.P('Rho Raw'!H32:H41)</x:f>
        <x:v>0.2675976923070436</x:v>
      </x:c>
      <x:c r="O10" s="29" t="n">
        <x:f>STDEV.P('Rho Raw'!I32:I41)</x:f>
        <x:v>0.10956497368311639</x:v>
      </x:c>
      <x:c r="P10" t="n">
        <x:f>1+COUNTIF(D10:H10,"&gt;"&amp;I10)</x:f>
        <x:v>1</x:v>
      </x:c>
      <x:c r="Q10" t="n">
        <x:v>10</x:v>
      </x:c>
      <x:c r="R10" t="str">
        <x:v>B2</x:v>
      </x:c>
      <x:c r="S10" s="26" t="n">
        <x:f>I10-MAX(D10:H10)</x:f>
        <x:v>0.5764997283727666</x:v>
      </x:c>
      <x:c r="T10" s="26" t="n">
        <x:f>MIN('Rho Raw'!I32:I41)</x:f>
        <x:v>10.74669034227376</x:v>
      </x:c>
      <x:c r="U10" s="26" t="n">
        <x:f>MAX('Rho Raw'!I32:I41)</x:f>
        <x:v>11.07240552910292</x:v>
      </x:c>
    </x:row>
    <x:row r="11">
      <x:c r="A11" t="str">
        <x:v>rho_si</x:v>
      </x:c>
      <x:c r="B11" t="str">
        <x:v>1e-06</x:v>
      </x:c>
      <x:c r="C11" t="n">
        <x:v>10</x:v>
      </x:c>
      <x:c r="D11" s="26" t="n">
        <x:f>AVERAGE('Rho Raw'!D22:D31)</x:f>
        <x:v>8.779482639486634</x:v>
      </x:c>
      <x:c r="E11" s="26" t="n">
        <x:f>AVERAGE('Rho Raw'!E22:E31)</x:f>
        <x:v>10.304784285445463</x:v>
      </x:c>
      <x:c r="F11" s="26" t="n">
        <x:f>AVERAGE('Rho Raw'!F22:F31)</x:f>
        <x:v>7.842947020146786</x:v>
      </x:c>
      <x:c r="G11" s="26" t="n">
        <x:f>AVERAGE('Rho Raw'!G22:G31)</x:f>
        <x:v>5.939521180336881</x:v>
      </x:c>
      <x:c r="H11" s="26" t="n">
        <x:f>AVERAGE('Rho Raw'!H22:H31)</x:f>
        <x:v>2.9928978877432213</x:v>
      </x:c>
      <x:c r="I11" s="29" t="n">
        <x:f>AVERAGE('Rho Raw'!I22:I31)</x:f>
        <x:v>10.919637188994567</x:v>
      </x:c>
      <x:c r="J11" s="26" t="n">
        <x:f>STDEV.P('Rho Raw'!D22:D31)</x:f>
        <x:v>0.4253042692272369</x:v>
      </x:c>
      <x:c r="K11" s="26" t="n">
        <x:f>STDEV.P('Rho Raw'!E22:E31)</x:f>
        <x:v>0.2673064008854068</x:v>
      </x:c>
      <x:c r="L11" s="26" t="n">
        <x:f>STDEV.P('Rho Raw'!F22:F31)</x:f>
        <x:v>0.2969515819002295</x:v>
      </x:c>
      <x:c r="M11" s="26" t="n">
        <x:f>STDEV.P('Rho Raw'!G22:G31)</x:f>
        <x:v>0.4249310371027935</x:v>
      </x:c>
      <x:c r="N11" s="26" t="n">
        <x:f>STDEV.P('Rho Raw'!H22:H31)</x:f>
        <x:v>0.26940726182919</x:v>
      </x:c>
      <x:c r="O11" s="29" t="n">
        <x:f>STDEV.P('Rho Raw'!I22:I31)</x:f>
        <x:v>0.10966445314682335</x:v>
      </x:c>
      <x:c r="P11" t="n">
        <x:f>1+COUNTIF(D11:H11,"&gt;"&amp;I11)</x:f>
        <x:v>1</x:v>
      </x:c>
      <x:c r="Q11" t="n">
        <x:v>10</x:v>
      </x:c>
      <x:c r="R11" t="str">
        <x:v>B2</x:v>
      </x:c>
      <x:c r="S11" s="26" t="n">
        <x:f>I11-MAX(D11:H11)</x:f>
        <x:v>0.6148529035491048</x:v>
      </x:c>
      <x:c r="T11" s="26" t="n">
        <x:f>MIN('Rho Raw'!I22:I31)</x:f>
        <x:v>10.744170405826553</x:v>
      </x:c>
      <x:c r="U11" s="26" t="n">
        <x:f>MAX('Rho Raw'!I22:I31)</x:f>
        <x:v>11.062216862432331</x:v>
      </x:c>
    </x:row>
    <x:row r="12">
      <x:c r="A12" t="str">
        <x:v>rho_si</x:v>
      </x:c>
      <x:c r="B12" t="str">
        <x:v>1e-07</x:v>
      </x:c>
      <x:c r="C12" t="n">
        <x:v>10</x:v>
      </x:c>
      <x:c r="D12" s="26" t="n">
        <x:f>AVERAGE('Rho Raw'!D12:D21)</x:f>
        <x:v>8.707916371396873</x:v>
      </x:c>
      <x:c r="E12" s="26" t="n">
        <x:f>AVERAGE('Rho Raw'!E12:E21)</x:f>
        <x:v>10.3069292103022</x:v>
      </x:c>
      <x:c r="F12" s="26" t="n">
        <x:f>AVERAGE('Rho Raw'!F12:F21)</x:f>
        <x:v>7.8464137046748546</x:v>
      </x:c>
      <x:c r="G12" s="26" t="n">
        <x:f>AVERAGE('Rho Raw'!G12:G21)</x:f>
        <x:v>5.942839766526987</x:v>
      </x:c>
      <x:c r="H12" s="26" t="n">
        <x:f>AVERAGE('Rho Raw'!H12:H21)</x:f>
        <x:v>2.998494974086093</x:v>
      </x:c>
      <x:c r="I12" s="29" t="n">
        <x:f>AVERAGE('Rho Raw'!I12:I21)</x:f>
        <x:v>10.917564530830786</x:v>
      </x:c>
      <x:c r="J12" s="26" t="n">
        <x:f>STDEV.P('Rho Raw'!D12:D21)</x:f>
        <x:v>0.3845016397545844</x:v>
      </x:c>
      <x:c r="K12" s="26" t="n">
        <x:f>STDEV.P('Rho Raw'!E12:E21)</x:f>
        <x:v>0.26824599869275345</x:v>
      </x:c>
      <x:c r="L12" s="26" t="n">
        <x:f>STDEV.P('Rho Raw'!F12:F21)</x:f>
        <x:v>0.29750866963560163</x:v>
      </x:c>
      <x:c r="M12" s="26" t="n">
        <x:f>STDEV.P('Rho Raw'!G12:G21)</x:f>
        <x:v>0.42479971081511103</x:v>
      </x:c>
      <x:c r="N12" s="26" t="n">
        <x:f>STDEV.P('Rho Raw'!H12:H21)</x:f>
        <x:v>0.2714018769549167</x:v>
      </x:c>
      <x:c r="O12" s="29" t="n">
        <x:f>STDEV.P('Rho Raw'!I12:I21)</x:f>
        <x:v>0.10956169062335457</x:v>
      </x:c>
      <x:c r="P12" t="n">
        <x:f>1+COUNTIF(D12:H12,"&gt;"&amp;I12)</x:f>
        <x:v>1</x:v>
      </x:c>
      <x:c r="Q12" t="n">
        <x:v>10</x:v>
      </x:c>
      <x:c r="R12" t="str">
        <x:v>B2</x:v>
      </x:c>
      <x:c r="S12" s="26" t="n">
        <x:f>I12-MAX(D12:H12)</x:f>
        <x:v>0.6106353205285853</x:v>
      </x:c>
      <x:c r="T12" s="26" t="n">
        <x:f>MIN('Rho Raw'!I12:I21)</x:f>
        <x:v>10.740787532533634</x:v>
      </x:c>
      <x:c r="U12" s="26" t="n">
        <x:f>MAX('Rho Raw'!I12:I21)</x:f>
        <x:v>11.066953532079577</x:v>
      </x:c>
    </x:row>
    <x:row r="13">
      <x:c r="A13" t="str">
        <x:v>rho_si</x:v>
      </x:c>
      <x:c r="B13" t="str">
        <x:v>1e-08</x:v>
      </x:c>
      <x:c r="C13" t="n">
        <x:v>10</x:v>
      </x:c>
      <x:c r="D13" s="26" t="n">
        <x:f>AVERAGE('Rho Raw'!D2:D11)</x:f>
        <x:v>8.591504182031006</x:v>
      </x:c>
      <x:c r="E13" s="26" t="n">
        <x:f>AVERAGE('Rho Raw'!E2:E11)</x:f>
        <x:v>10.307853613348367</x:v>
      </x:c>
      <x:c r="F13" s="26" t="n">
        <x:f>AVERAGE('Rho Raw'!F2:F11)</x:f>
        <x:v>7.847269872097826</x:v>
      </x:c>
      <x:c r="G13" s="26" t="n">
        <x:f>AVERAGE('Rho Raw'!G2:G11)</x:f>
        <x:v>5.943311848006155</x:v>
      </x:c>
      <x:c r="H13" s="26" t="n">
        <x:f>AVERAGE('Rho Raw'!H2:H11)</x:f>
        <x:v>2.999604910517479</x:v>
      </x:c>
      <x:c r="I13" s="29" t="n">
        <x:f>AVERAGE('Rho Raw'!I2:I11)</x:f>
        <x:v>10.917242371470294</x:v>
      </x:c>
      <x:c r="J13" s="26" t="n">
        <x:f>STDEV.P('Rho Raw'!D2:D11)</x:f>
        <x:v>0.5046722623291353</x:v>
      </x:c>
      <x:c r="K13" s="26" t="n">
        <x:f>STDEV.P('Rho Raw'!E2:E11)</x:f>
        <x:v>0.26849428364537026</x:v>
      </x:c>
      <x:c r="L13" s="26" t="n">
        <x:f>STDEV.P('Rho Raw'!F2:F11)</x:f>
        <x:v>0.2976394290580352</x:v>
      </x:c>
      <x:c r="M13" s="26" t="n">
        <x:f>STDEV.P('Rho Raw'!G2:G11)</x:f>
        <x:v>0.42475552027036845</x:v>
      </x:c>
      <x:c r="N13" s="26" t="n">
        <x:f>STDEV.P('Rho Raw'!H2:H11)</x:f>
        <x:v>0.2722144098373553</x:v>
      </x:c>
      <x:c r="O13" s="29" t="n">
        <x:f>STDEV.P('Rho Raw'!I2:I11)</x:f>
        <x:v>0.10963149879776367</x:v>
      </x:c>
      <x:c r="P13" t="n">
        <x:f>1+COUNTIF(D13:H13,"&gt;"&amp;I13)</x:f>
        <x:v>1</x:v>
      </x:c>
      <x:c r="Q13" t="n">
        <x:v>10</x:v>
      </x:c>
      <x:c r="R13" t="str">
        <x:v>B2</x:v>
      </x:c>
      <x:c r="S13" s="26" t="n">
        <x:f>I13-MAX(D13:H13)</x:f>
        <x:v>0.609388758121927</x:v>
      </x:c>
      <x:c r="T13" s="26" t="n">
        <x:f>MIN('Rho Raw'!I2:I11)</x:f>
        <x:v>10.740321753695746</x:v>
      </x:c>
      <x:c r="U13" s="26" t="n">
        <x:f>MAX('Rho Raw'!I2:I11)</x:f>
        <x:v>11.067623029300515</x:v>
      </x:c>
    </x:row>
    <x:row r="14">
      <x:c r="A14" t="str">
        <x:v>p_dl_max</x:v>
      </x:c>
      <x:c r="B14" t="str">
        <x:v>0.2</x:v>
      </x:c>
      <x:c r="C14" t="n">
        <x:v>10</x:v>
      </x:c>
      <x:c r="D14" s="26" t="n">
        <x:f>AVERAGE('Pdl Raw'!D2:D11)</x:f>
        <x:v>7.79462971075319</x:v>
      </x:c>
      <x:c r="E14" s="26" t="n">
        <x:f>AVERAGE('Pdl Raw'!E2:E11)</x:f>
        <x:v>9.007354108236276</x:v>
      </x:c>
      <x:c r="F14" s="26" t="n">
        <x:f>AVERAGE('Pdl Raw'!F2:F11)</x:f>
        <x:v>6.762536550307547</x:v>
      </x:c>
      <x:c r="G14" s="26" t="n">
        <x:f>AVERAGE('Pdl Raw'!G2:G11)</x:f>
        <x:v>5.22259466184384</x:v>
      </x:c>
      <x:c r="H14" s="26" t="n">
        <x:f>AVERAGE('Pdl Raw'!H2:H11)</x:f>
        <x:v>2.750835142636318</x:v>
      </x:c>
      <x:c r="I14" s="29" t="n">
        <x:f>AVERAGE('Pdl Raw'!I2:I11)</x:f>
        <x:v>9.548611169681553</x:v>
      </x:c>
      <x:c r="J14" s="26" t="n">
        <x:f>STDEV.P('Pdl Raw'!D2:D11)</x:f>
        <x:v>0.39694259166774903</x:v>
      </x:c>
      <x:c r="K14" s="26" t="n">
        <x:f>STDEV.P('Pdl Raw'!E2:E11)</x:f>
        <x:v>0.20355728188274222</x:v>
      </x:c>
      <x:c r="L14" s="26" t="n">
        <x:f>STDEV.P('Pdl Raw'!F2:F11)</x:f>
        <x:v>0.1775576575787284</x:v>
      </x:c>
      <x:c r="M14" s="26" t="n">
        <x:f>STDEV.P('Pdl Raw'!G2:G11)</x:f>
        <x:v>0.39952207089942343</x:v>
      </x:c>
      <x:c r="N14" s="26" t="n">
        <x:f>STDEV.P('Pdl Raw'!H2:H11)</x:f>
        <x:v>0.1670568234954245</x:v>
      </x:c>
      <x:c r="O14" s="29" t="n">
        <x:f>STDEV.P('Pdl Raw'!I2:I11)</x:f>
        <x:v>0.11387771516138039</x:v>
      </x:c>
      <x:c r="P14" t="n">
        <x:f>1+COUNTIF(D14:H14,"&gt;"&amp;I14)</x:f>
        <x:v>1</x:v>
      </x:c>
      <x:c r="Q14" t="n">
        <x:v>10</x:v>
      </x:c>
      <x:c r="R14" t="str">
        <x:v>B2</x:v>
      </x:c>
      <x:c r="S14" s="26" t="n">
        <x:f>I14-MAX(D14:H14)</x:f>
        <x:v>0.5412570614452772</x:v>
      </x:c>
      <x:c r="T14" s="26" t="n">
        <x:f>MIN('Pdl Raw'!I2:I11)</x:f>
        <x:v>9.391780133325103</x:v>
      </x:c>
      <x:c r="U14" s="26" t="n">
        <x:f>MAX('Pdl Raw'!I2:I11)</x:f>
        <x:v>9.725220597415701</x:v>
      </x:c>
    </x:row>
    <x:row r="15">
      <x:c r="A15" t="str">
        <x:v>p_dl_max</x:v>
      </x:c>
      <x:c r="B15" t="str">
        <x:v>0.5</x:v>
      </x:c>
      <x:c r="C15" t="n">
        <x:v>10</x:v>
      </x:c>
      <x:c r="D15" s="26" t="n">
        <x:f>AVERAGE('Pdl Raw'!D12:D21)</x:f>
        <x:v>8.149507940507329</x:v>
      </x:c>
      <x:c r="E15" s="26" t="n">
        <x:f>AVERAGE('Pdl Raw'!E12:E21)</x:f>
        <x:v>9.81449367199146</x:v>
      </x:c>
      <x:c r="F15" s="26" t="n">
        <x:f>AVERAGE('Pdl Raw'!F12:F21)</x:f>
        <x:v>7.354805194450205</x:v>
      </x:c>
      <x:c r="G15" s="26" t="n">
        <x:f>AVERAGE('Pdl Raw'!G12:G21)</x:f>
        <x:v>5.626736443965017</x:v>
      </x:c>
      <x:c r="H15" s="26" t="n">
        <x:f>AVERAGE('Pdl Raw'!H12:H21)</x:f>
        <x:v>2.8647426887570675</x:v>
      </x:c>
      <x:c r="I15" s="29" t="n">
        <x:f>AVERAGE('Pdl Raw'!I12:I21)</x:f>
        <x:v>10.389588993591705</x:v>
      </x:c>
      <x:c r="J15" s="26" t="n">
        <x:f>STDEV.P('Pdl Raw'!D12:D21)</x:f>
        <x:v>0.3796309415932768</x:v>
      </x:c>
      <x:c r="K15" s="26" t="n">
        <x:f>STDEV.P('Pdl Raw'!E12:E21)</x:f>
        <x:v>0.15981858704705856</x:v>
      </x:c>
      <x:c r="L15" s="26" t="n">
        <x:f>STDEV.P('Pdl Raw'!F12:F21)</x:f>
        <x:v>0.23436445093048677</x:v>
      </x:c>
      <x:c r="M15" s="26" t="n">
        <x:f>STDEV.P('Pdl Raw'!G12:G21)</x:f>
        <x:v>0.41851076100447343</x:v>
      </x:c>
      <x:c r="N15" s="26" t="n">
        <x:f>STDEV.P('Pdl Raw'!H12:H21)</x:f>
        <x:v>0.2196570101912183</x:v>
      </x:c>
      <x:c r="O15" s="29" t="n">
        <x:f>STDEV.P('Pdl Raw'!I12:I21)</x:f>
        <x:v>0.1540588801854048</x:v>
      </x:c>
      <x:c r="P15" t="n">
        <x:f>1+COUNTIF(D15:H15,"&gt;"&amp;I15)</x:f>
        <x:v>1</x:v>
      </x:c>
      <x:c r="Q15" t="n">
        <x:v>10</x:v>
      </x:c>
      <x:c r="R15" t="str">
        <x:v>B2</x:v>
      </x:c>
      <x:c r="S15" s="26" t="n">
        <x:f>I15-MAX(D15:H15)</x:f>
        <x:v>0.5750953216002443</x:v>
      </x:c>
      <x:c r="T15" s="26" t="n">
        <x:f>MIN('Pdl Raw'!I12:I21)</x:f>
        <x:v>10.166591136675056</x:v>
      </x:c>
      <x:c r="U15" s="26" t="n">
        <x:f>MAX('Pdl Raw'!I12:I21)</x:f>
        <x:v>10.670648402611851</x:v>
      </x:c>
    </x:row>
    <x:row r="16">
      <x:c r="A16" t="str">
        <x:v>p_dl_max</x:v>
      </x:c>
      <x:c r="B16" t="str">
        <x:v>1.0</x:v>
      </x:c>
      <x:c r="C16" t="n">
        <x:v>10</x:v>
      </x:c>
      <x:c r="D16" s="26" t="n">
        <x:f>AVERAGE('Pdl Raw'!D22:D31)</x:f>
        <x:v>8.591504182031006</x:v>
      </x:c>
      <x:c r="E16" s="26" t="n">
        <x:f>AVERAGE('Pdl Raw'!E22:E31)</x:f>
        <x:v>10.307853613348367</x:v>
      </x:c>
      <x:c r="F16" s="26" t="n">
        <x:f>AVERAGE('Pdl Raw'!F22:F31)</x:f>
        <x:v>7.847269872097826</x:v>
      </x:c>
      <x:c r="G16" s="26" t="n">
        <x:f>AVERAGE('Pdl Raw'!G22:G31)</x:f>
        <x:v>5.943311848006155</x:v>
      </x:c>
      <x:c r="H16" s="26" t="n">
        <x:f>AVERAGE('Pdl Raw'!H22:H31)</x:f>
        <x:v>2.999604910517479</x:v>
      </x:c>
      <x:c r="I16" s="29" t="n">
        <x:f>AVERAGE('Pdl Raw'!I22:I31)</x:f>
        <x:v>10.917242371470294</x:v>
      </x:c>
      <x:c r="J16" s="26" t="n">
        <x:f>STDEV.P('Pdl Raw'!D22:D31)</x:f>
        <x:v>0.5046722623291353</x:v>
      </x:c>
      <x:c r="K16" s="26" t="n">
        <x:f>STDEV.P('Pdl Raw'!E22:E31)</x:f>
        <x:v>0.26849428364537026</x:v>
      </x:c>
      <x:c r="L16" s="26" t="n">
        <x:f>STDEV.P('Pdl Raw'!F22:F31)</x:f>
        <x:v>0.2976394290580352</x:v>
      </x:c>
      <x:c r="M16" s="26" t="n">
        <x:f>STDEV.P('Pdl Raw'!G22:G31)</x:f>
        <x:v>0.42475552027036845</x:v>
      </x:c>
      <x:c r="N16" s="26" t="n">
        <x:f>STDEV.P('Pdl Raw'!H22:H31)</x:f>
        <x:v>0.2722144098373553</x:v>
      </x:c>
      <x:c r="O16" s="29" t="n">
        <x:f>STDEV.P('Pdl Raw'!I22:I31)</x:f>
        <x:v>0.10963149879776367</x:v>
      </x:c>
      <x:c r="P16" t="n">
        <x:f>1+COUNTIF(D16:H16,"&gt;"&amp;I16)</x:f>
        <x:v>1</x:v>
      </x:c>
      <x:c r="Q16" t="n">
        <x:v>10</x:v>
      </x:c>
      <x:c r="R16" t="str">
        <x:v>B2</x:v>
      </x:c>
      <x:c r="S16" s="26" t="n">
        <x:f>I16-MAX(D16:H16)</x:f>
        <x:v>0.609388758121927</x:v>
      </x:c>
      <x:c r="T16" s="26" t="n">
        <x:f>MIN('Pdl Raw'!I22:I31)</x:f>
        <x:v>10.740321753695746</x:v>
      </x:c>
      <x:c r="U16" s="26" t="n">
        <x:f>MAX('Pdl Raw'!I22:I31)</x:f>
        <x:v>11.067623029300515</x:v>
      </x:c>
    </x:row>
    <x:row r="17">
      <x:c r="A17" t="str">
        <x:v>p_dl_max</x:v>
      </x:c>
      <x:c r="B17" t="str">
        <x:v>1.5</x:v>
      </x:c>
      <x:c r="C17" t="n">
        <x:v>10</x:v>
      </x:c>
      <x:c r="D17" s="26" t="n">
        <x:f>AVERAGE('Pdl Raw'!D32:D41)</x:f>
        <x:v>8.641347971691257</x:v>
      </x:c>
      <x:c r="E17" s="26" t="n">
        <x:f>AVERAGE('Pdl Raw'!E32:E41)</x:f>
        <x:v>10.650612839738637</x:v>
      </x:c>
      <x:c r="F17" s="26" t="n">
        <x:f>AVERAGE('Pdl Raw'!F32:F41)</x:f>
        <x:v>8.149279452928024</x:v>
      </x:c>
      <x:c r="G17" s="26" t="n">
        <x:f>AVERAGE('Pdl Raw'!G32:G41)</x:f>
        <x:v>6.131481891688987</x:v>
      </x:c>
      <x:c r="H17" s="26" t="n">
        <x:f>AVERAGE('Pdl Raw'!H32:H41)</x:f>
        <x:v>3.0974332135377773</x:v>
      </x:c>
      <x:c r="I17" s="29" t="n">
        <x:f>AVERAGE('Pdl Raw'!I32:I41)</x:f>
        <x:v>11.243703549846053</x:v>
      </x:c>
      <x:c r="J17" s="26" t="n">
        <x:f>STDEV.P('Pdl Raw'!D32:D41)</x:f>
        <x:v>0.30898583210475744</x:v>
      </x:c>
      <x:c r="K17" s="26" t="n">
        <x:f>STDEV.P('Pdl Raw'!E32:E41)</x:f>
        <x:v>0.2755319574887255</x:v>
      </x:c>
      <x:c r="L17" s="26" t="n">
        <x:f>STDEV.P('Pdl Raw'!F32:F41)</x:f>
        <x:v>0.3358206165847741</x:v>
      </x:c>
      <x:c r="M17" s="26" t="n">
        <x:f>STDEV.P('Pdl Raw'!G32:G41)</x:f>
        <x:v>0.42681461826853073</x:v>
      </x:c>
      <x:c r="N17" s="26" t="n">
        <x:f>STDEV.P('Pdl Raw'!H32:H41)</x:f>
        <x:v>0.3051759556082502</x:v>
      </x:c>
      <x:c r="O17" s="29" t="n">
        <x:f>STDEV.P('Pdl Raw'!I32:I41)</x:f>
        <x:v>0.12176460770359872</x:v>
      </x:c>
      <x:c r="P17" t="n">
        <x:f>1+COUNTIF(D17:H17,"&gt;"&amp;I17)</x:f>
        <x:v>1</x:v>
      </x:c>
      <x:c r="Q17" t="n">
        <x:v>10</x:v>
      </x:c>
      <x:c r="R17" t="str">
        <x:v>B2</x:v>
      </x:c>
      <x:c r="S17" s="26" t="n">
        <x:f>I17-MAX(D17:H17)</x:f>
        <x:v>0.5930907101074165</x:v>
      </x:c>
      <x:c r="T17" s="26" t="n">
        <x:f>MIN('Pdl Raw'!I32:I41)</x:f>
        <x:v>11.051168504749732</x:v>
      </x:c>
      <x:c r="U17" s="26" t="n">
        <x:f>MAX('Pdl Raw'!I32:I41)</x:f>
        <x:v>11.435905533076905</x:v>
      </x:c>
    </x:row>
    <x:row r="18">
      <x:c r="A18" t="str">
        <x:v>p_dl_max</x:v>
      </x:c>
      <x:c r="B18" t="str">
        <x:v>2.0</x:v>
      </x:c>
      <x:c r="C18" t="n">
        <x:v>10</x:v>
      </x:c>
      <x:c r="D18" s="26" t="n">
        <x:f>AVERAGE('Pdl Raw'!D42:D51)</x:f>
        <x:v>8.92774938182837</x:v>
      </x:c>
      <x:c r="E18" s="26" t="n">
        <x:f>AVERAGE('Pdl Raw'!E42:E51)</x:f>
        <x:v>10.767774407989418</x:v>
      </x:c>
      <x:c r="F18" s="26" t="n">
        <x:f>AVERAGE('Pdl Raw'!F42:F51)</x:f>
        <x:v>8.368604397712314</x:v>
      </x:c>
      <x:c r="G18" s="26" t="n">
        <x:f>AVERAGE('Pdl Raw'!G42:G51)</x:f>
        <x:v>6.266046308552878</x:v>
      </x:c>
      <x:c r="H18" s="26" t="n">
        <x:f>AVERAGE('Pdl Raw'!H42:H51)</x:f>
        <x:v>3.174742184644917</x:v>
      </x:c>
      <x:c r="I18" s="29" t="n">
        <x:f>AVERAGE('Pdl Raw'!I42:I51)</x:f>
        <x:v>11.435051318736715</x:v>
      </x:c>
      <x:c r="J18" s="26" t="n">
        <x:f>STDEV.P('Pdl Raw'!D42:D51)</x:f>
        <x:v>0.3613508823797315</x:v>
      </x:c>
      <x:c r="K18" s="26" t="n">
        <x:f>STDEV.P('Pdl Raw'!E42:E51)</x:f>
        <x:v>0.3662241712944715</x:v>
      </x:c>
      <x:c r="L18" s="26" t="n">
        <x:f>STDEV.P('Pdl Raw'!F42:F51)</x:f>
        <x:v>0.3618686175465991</x:v>
      </x:c>
      <x:c r="M18" s="26" t="n">
        <x:f>STDEV.P('Pdl Raw'!G42:G51)</x:f>
        <x:v>0.4278584484538685</x:v>
      </x:c>
      <x:c r="N18" s="26" t="n">
        <x:f>STDEV.P('Pdl Raw'!H42:H51)</x:f>
        <x:v>0.3287999100853671</x:v>
      </x:c>
      <x:c r="O18" s="29" t="n">
        <x:f>STDEV.P('Pdl Raw'!I42:I51)</x:f>
        <x:v>0.10945318673790677</x:v>
      </x:c>
      <x:c r="P18" t="n">
        <x:f>1+COUNTIF(D18:H18,"&gt;"&amp;I18)</x:f>
        <x:v>1</x:v>
      </x:c>
      <x:c r="Q18" t="n">
        <x:v>10</x:v>
      </x:c>
      <x:c r="R18" t="str">
        <x:v>B2</x:v>
      </x:c>
      <x:c r="S18" s="26" t="n">
        <x:f>I18-MAX(D18:H18)</x:f>
        <x:v>0.6672769107472973</x:v>
      </x:c>
      <x:c r="T18" s="26" t="n">
        <x:f>MIN('Pdl Raw'!I42:I51)</x:f>
        <x:v>11.27815682646241</x:v>
      </x:c>
      <x:c r="U18" s="26" t="n">
        <x:f>MAX('Pdl Raw'!I42:I51)</x:f>
        <x:v>11.625095988806017</x:v>
      </x:c>
    </x:row>
    <x:row r="19">
      <x:c r="A19" t="str">
        <x:v>cable_length</x:v>
      </x:c>
      <x:c r="B19" t="str">
        <x:v>0.5</x:v>
      </x:c>
      <x:c r="C19" t="n">
        <x:v>10</x:v>
      </x:c>
      <x:c r="D19" s="26" t="n">
        <x:f>AVERAGE('Cable Raw'!D2:D11)</x:f>
        <x:v>8.580484444058296</x:v>
      </x:c>
      <x:c r="E19" s="26" t="n">
        <x:f>AVERAGE('Cable Raw'!E2:E11)</x:f>
        <x:v>10.418655196309476</x:v>
      </x:c>
      <x:c r="F19" s="26" t="n">
        <x:f>AVERAGE('Cable Raw'!F2:F11)</x:f>
        <x:v>7.847269872097826</x:v>
      </x:c>
      <x:c r="G19" s="26" t="n">
        <x:f>AVERAGE('Cable Raw'!G2:G11)</x:f>
        <x:v>6.057760284305937</x:v>
      </x:c>
      <x:c r="H19" s="26" t="n">
        <x:f>AVERAGE('Cable Raw'!H2:H11)</x:f>
        <x:v>2.999604910517479</x:v>
      </x:c>
      <x:c r="I19" s="29" t="n">
        <x:f>AVERAGE('Cable Raw'!I2:I11)</x:f>
        <x:v>10.938754102460635</x:v>
      </x:c>
      <x:c r="J19" s="26" t="n">
        <x:f>STDEV.P('Cable Raw'!D2:D11)</x:f>
        <x:v>0.5306117293695759</x:v>
      </x:c>
      <x:c r="K19" s="26" t="n">
        <x:f>STDEV.P('Cable Raw'!E2:E11)</x:f>
        <x:v>0.2917940051641244</x:v>
      </x:c>
      <x:c r="L19" s="26" t="n">
        <x:f>STDEV.P('Cable Raw'!F2:F11)</x:f>
        <x:v>0.2976394290580352</x:v>
      </x:c>
      <x:c r="M19" s="26" t="n">
        <x:f>STDEV.P('Cable Raw'!G2:G11)</x:f>
        <x:v>0.32493380504949204</x:v>
      </x:c>
      <x:c r="N19" s="26" t="n">
        <x:f>STDEV.P('Cable Raw'!H2:H11)</x:f>
        <x:v>0.2722144098373553</x:v>
      </x:c>
      <x:c r="O19" s="29" t="n">
        <x:f>STDEV.P('Cable Raw'!I2:I11)</x:f>
        <x:v>0.1355479641566026</x:v>
      </x:c>
      <x:c r="P19" t="n">
        <x:f>1+COUNTIF(D19:H19,"&gt;"&amp;I19)</x:f>
        <x:v>1</x:v>
      </x:c>
      <x:c r="Q19" t="n">
        <x:v>10</x:v>
      </x:c>
      <x:c r="R19" t="str">
        <x:v>B2</x:v>
      </x:c>
      <x:c r="S19" s="26" t="n">
        <x:f>I19-MAX(D19:H19)</x:f>
        <x:v>0.5200989061511585</x:v>
      </x:c>
      <x:c r="T19" s="26" t="n">
        <x:f>MIN('Cable Raw'!I2:I11)</x:f>
        <x:v>10.650345330403342</x:v>
      </x:c>
      <x:c r="U19" s="26" t="n">
        <x:f>MAX('Cable Raw'!I2:I11)</x:f>
        <x:v>11.214946014542363</x:v>
      </x:c>
    </x:row>
    <x:row r="20">
      <x:c r="A20" t="str">
        <x:v>cable_length</x:v>
      </x:c>
      <x:c r="B20" t="str">
        <x:v>0.75</x:v>
      </x:c>
      <x:c r="C20" t="n">
        <x:v>10</x:v>
      </x:c>
      <x:c r="D20" s="26" t="n">
        <x:f>AVERAGE('Cable Raw'!D12:D21)</x:f>
        <x:v>8.574042492398329</x:v>
      </x:c>
      <x:c r="E20" s="26" t="n">
        <x:f>AVERAGE('Cable Raw'!E12:E21)</x:f>
        <x:v>10.551197042336133</x:v>
      </x:c>
      <x:c r="F20" s="26" t="n">
        <x:f>AVERAGE('Cable Raw'!F12:F21)</x:f>
        <x:v>7.847269872097826</x:v>
      </x:c>
      <x:c r="G20" s="26" t="n">
        <x:f>AVERAGE('Cable Raw'!G12:G21)</x:f>
        <x:v>6.225454332472589</x:v>
      </x:c>
      <x:c r="H20" s="26" t="n">
        <x:f>AVERAGE('Cable Raw'!H12:H21)</x:f>
        <x:v>2.999604910517479</x:v>
      </x:c>
      <x:c r="I20" s="29" t="n">
        <x:f>AVERAGE('Cable Raw'!I12:I21)</x:f>
        <x:v>11.035556556880781</x:v>
      </x:c>
      <x:c r="J20" s="26" t="n">
        <x:f>STDEV.P('Cable Raw'!D12:D21)</x:f>
        <x:v>0.42678425286336613</x:v>
      </x:c>
      <x:c r="K20" s="26" t="n">
        <x:f>STDEV.P('Cable Raw'!E12:E21)</x:f>
        <x:v>0.2756830836847424</x:v>
      </x:c>
      <x:c r="L20" s="26" t="n">
        <x:f>STDEV.P('Cable Raw'!F12:F21)</x:f>
        <x:v>0.2976394290580352</x:v>
      </x:c>
      <x:c r="M20" s="26" t="n">
        <x:f>STDEV.P('Cable Raw'!G12:G21)</x:f>
        <x:v>0.33957624960397137</x:v>
      </x:c>
      <x:c r="N20" s="26" t="n">
        <x:f>STDEV.P('Cable Raw'!H12:H21)</x:f>
        <x:v>0.2722144098373553</x:v>
      </x:c>
      <x:c r="O20" s="29" t="n">
        <x:f>STDEV.P('Cable Raw'!I12:I21)</x:f>
        <x:v>0.1584873300591768</x:v>
      </x:c>
      <x:c r="P20" t="n">
        <x:f>1+COUNTIF(D20:H20,"&gt;"&amp;I20)</x:f>
        <x:v>1</x:v>
      </x:c>
      <x:c r="Q20" t="n">
        <x:v>10</x:v>
      </x:c>
      <x:c r="R20" t="str">
        <x:v>B2</x:v>
      </x:c>
      <x:c r="S20" s="26" t="n">
        <x:f>I20-MAX(D20:H20)</x:f>
        <x:v>0.4843595145446482</x:v>
      </x:c>
      <x:c r="T20" s="26" t="n">
        <x:f>MIN('Cable Raw'!I12:I21)</x:f>
        <x:v>10.772548916496202</x:v>
      </x:c>
      <x:c r="U20" s="26" t="n">
        <x:f>MAX('Cable Raw'!I12:I21)</x:f>
        <x:v>11.268244288612022</x:v>
      </x:c>
    </x:row>
    <x:row r="21">
      <x:c r="A21" t="str">
        <x:v>cable_length</x:v>
      </x:c>
      <x:c r="B21" t="str">
        <x:v>1.0</x:v>
      </x:c>
      <x:c r="C21" t="n">
        <x:v>10</x:v>
      </x:c>
      <x:c r="D21" s="26" t="n">
        <x:f>AVERAGE('Cable Raw'!D22:D31)</x:f>
        <x:v>8.591504182031006</x:v>
      </x:c>
      <x:c r="E21" s="26" t="n">
        <x:f>AVERAGE('Cable Raw'!E22:E31)</x:f>
        <x:v>10.307853613348367</x:v>
      </x:c>
      <x:c r="F21" s="26" t="n">
        <x:f>AVERAGE('Cable Raw'!F22:F31)</x:f>
        <x:v>7.847269872097826</x:v>
      </x:c>
      <x:c r="G21" s="26" t="n">
        <x:f>AVERAGE('Cable Raw'!G22:G31)</x:f>
        <x:v>5.943311848006155</x:v>
      </x:c>
      <x:c r="H21" s="26" t="n">
        <x:f>AVERAGE('Cable Raw'!H22:H31)</x:f>
        <x:v>2.999604910517479</x:v>
      </x:c>
      <x:c r="I21" s="29" t="n">
        <x:f>AVERAGE('Cable Raw'!I22:I31)</x:f>
        <x:v>10.917242371470294</x:v>
      </x:c>
      <x:c r="J21" s="26" t="n">
        <x:f>STDEV.P('Cable Raw'!D22:D31)</x:f>
        <x:v>0.5046722623291353</x:v>
      </x:c>
      <x:c r="K21" s="26" t="n">
        <x:f>STDEV.P('Cable Raw'!E22:E31)</x:f>
        <x:v>0.26849428364537026</x:v>
      </x:c>
      <x:c r="L21" s="26" t="n">
        <x:f>STDEV.P('Cable Raw'!F22:F31)</x:f>
        <x:v>0.2976394290580352</x:v>
      </x:c>
      <x:c r="M21" s="26" t="n">
        <x:f>STDEV.P('Cable Raw'!G22:G31)</x:f>
        <x:v>0.42475552027036845</x:v>
      </x:c>
      <x:c r="N21" s="26" t="n">
        <x:f>STDEV.P('Cable Raw'!H22:H31)</x:f>
        <x:v>0.2722144098373553</x:v>
      </x:c>
      <x:c r="O21" s="29" t="n">
        <x:f>STDEV.P('Cable Raw'!I22:I31)</x:f>
        <x:v>0.10963149879776367</x:v>
      </x:c>
      <x:c r="P21" t="n">
        <x:f>1+COUNTIF(D21:H21,"&gt;"&amp;I21)</x:f>
        <x:v>1</x:v>
      </x:c>
      <x:c r="Q21" t="n">
        <x:v>10</x:v>
      </x:c>
      <x:c r="R21" t="str">
        <x:v>B2</x:v>
      </x:c>
      <x:c r="S21" s="26" t="n">
        <x:f>I21-MAX(D21:H21)</x:f>
        <x:v>0.609388758121927</x:v>
      </x:c>
      <x:c r="T21" s="26" t="n">
        <x:f>MIN('Cable Raw'!I22:I31)</x:f>
        <x:v>10.740321753695746</x:v>
      </x:c>
      <x:c r="U21" s="26" t="n">
        <x:f>MAX('Cable Raw'!I22:I31)</x:f>
        <x:v>11.067623029300515</x:v>
      </x:c>
    </x:row>
    <x:row r="22">
      <x:c r="A22" t="str">
        <x:v>cable_length</x:v>
      </x:c>
      <x:c r="B22" t="str">
        <x:v>1.25</x:v>
      </x:c>
      <x:c r="C22" t="n">
        <x:v>10</x:v>
      </x:c>
      <x:c r="D22" s="26" t="n">
        <x:f>AVERAGE('Cable Raw'!D32:D41)</x:f>
        <x:v>8.644978905409607</x:v>
      </x:c>
      <x:c r="E22" s="26" t="n">
        <x:f>AVERAGE('Cable Raw'!E32:E41)</x:f>
        <x:v>10.494626227723932</x:v>
      </x:c>
      <x:c r="F22" s="26" t="n">
        <x:f>AVERAGE('Cable Raw'!F32:F41)</x:f>
        <x:v>7.847269872097826</x:v>
      </x:c>
      <x:c r="G22" s="26" t="n">
        <x:f>AVERAGE('Cable Raw'!G32:G41)</x:f>
        <x:v>6.179752926743279</x:v>
      </x:c>
      <x:c r="H22" s="26" t="n">
        <x:f>AVERAGE('Cable Raw'!H32:H41)</x:f>
        <x:v>2.999604910517479</x:v>
      </x:c>
      <x:c r="I22" s="29" t="n">
        <x:f>AVERAGE('Cable Raw'!I32:I41)</x:f>
        <x:v>10.993634654170705</x:v>
      </x:c>
      <x:c r="J22" s="26" t="n">
        <x:f>STDEV.P('Cable Raw'!D32:D41)</x:f>
        <x:v>0.4040140367548786</x:v>
      </x:c>
      <x:c r="K22" s="26" t="n">
        <x:f>STDEV.P('Cable Raw'!E32:E41)</x:f>
        <x:v>0.2727008104578944</x:v>
      </x:c>
      <x:c r="L22" s="26" t="n">
        <x:f>STDEV.P('Cable Raw'!F32:F41)</x:f>
        <x:v>0.2976394290580352</x:v>
      </x:c>
      <x:c r="M22" s="26" t="n">
        <x:f>STDEV.P('Cable Raw'!G32:G41)</x:f>
        <x:v>0.3192161229990942</x:v>
      </x:c>
      <x:c r="N22" s="26" t="n">
        <x:f>STDEV.P('Cable Raw'!H32:H41)</x:f>
        <x:v>0.2722144098373553</x:v>
      </x:c>
      <x:c r="O22" s="29" t="n">
        <x:f>STDEV.P('Cable Raw'!I32:I41)</x:f>
        <x:v>0.09515273771983711</x:v>
      </x:c>
      <x:c r="P22" t="n">
        <x:f>1+COUNTIF(D22:H22,"&gt;"&amp;I22)</x:f>
        <x:v>1</x:v>
      </x:c>
      <x:c r="Q22" t="n">
        <x:v>10</x:v>
      </x:c>
      <x:c r="R22" t="str">
        <x:v>B2</x:v>
      </x:c>
      <x:c r="S22" s="26" t="n">
        <x:f>I22-MAX(D22:H22)</x:f>
        <x:v>0.4990084264467729</x:v>
      </x:c>
      <x:c r="T22" s="26" t="n">
        <x:f>MIN('Cable Raw'!I32:I41)</x:f>
        <x:v>10.898865916379403</x:v>
      </x:c>
      <x:c r="U22" s="26" t="n">
        <x:f>MAX('Cable Raw'!I32:I41)</x:f>
        <x:v>11.17911883914533</x:v>
      </x:c>
    </x:row>
    <x:row r="23">
      <x:c r="A23" t="str">
        <x:v>cable_length</x:v>
      </x:c>
      <x:c r="B23" t="str">
        <x:v>1.5</x:v>
      </x:c>
      <x:c r="C23" t="n">
        <x:v>10</x:v>
      </x:c>
      <x:c r="D23" s="26" t="n">
        <x:f>AVERAGE('Cable Raw'!D42:D51)</x:f>
        <x:v>8.782738150775412</x:v>
      </x:c>
      <x:c r="E23" s="26" t="n">
        <x:f>AVERAGE('Cable Raw'!E42:E51)</x:f>
        <x:v>10.504075167943018</x:v>
      </x:c>
      <x:c r="F23" s="26" t="n">
        <x:f>AVERAGE('Cable Raw'!F42:F51)</x:f>
        <x:v>7.847269872097826</x:v>
      </x:c>
      <x:c r="G23" s="26" t="n">
        <x:f>AVERAGE('Cable Raw'!G42:G51)</x:f>
        <x:v>6.14303927288381</x:v>
      </x:c>
      <x:c r="H23" s="26" t="n">
        <x:f>AVERAGE('Cable Raw'!H42:H51)</x:f>
        <x:v>2.999604910517479</x:v>
      </x:c>
      <x:c r="I23" s="29" t="n">
        <x:f>AVERAGE('Cable Raw'!I42:I51)</x:f>
        <x:v>11.02200108168854</x:v>
      </x:c>
      <x:c r="J23" s="26" t="n">
        <x:f>STDEV.P('Cable Raw'!D42:D51)</x:f>
        <x:v>0.5263003005460231</x:v>
      </x:c>
      <x:c r="K23" s="26" t="n">
        <x:f>STDEV.P('Cable Raw'!E42:E51)</x:f>
        <x:v>0.23085760246964687</x:v>
      </x:c>
      <x:c r="L23" s="26" t="n">
        <x:f>STDEV.P('Cable Raw'!F42:F51)</x:f>
        <x:v>0.2976394290580352</x:v>
      </x:c>
      <x:c r="M23" s="26" t="n">
        <x:f>STDEV.P('Cable Raw'!G42:G51)</x:f>
        <x:v>0.2614574846118024</x:v>
      </x:c>
      <x:c r="N23" s="26" t="n">
        <x:f>STDEV.P('Cable Raw'!H42:H51)</x:f>
        <x:v>0.2722144098373553</x:v>
      </x:c>
      <x:c r="O23" s="29" t="n">
        <x:f>STDEV.P('Cable Raw'!I42:I51)</x:f>
        <x:v>0.15301918231234207</x:v>
      </x:c>
      <x:c r="P23" t="n">
        <x:f>1+COUNTIF(D23:H23,"&gt;"&amp;I23)</x:f>
        <x:v>1</x:v>
      </x:c>
      <x:c r="Q23" t="n">
        <x:v>10</x:v>
      </x:c>
      <x:c r="R23" t="str">
        <x:v>B2</x:v>
      </x:c>
      <x:c r="S23" s="26" t="n">
        <x:f>I23-MAX(D23:H23)</x:f>
        <x:v>0.5179259137455219</x:v>
      </x:c>
      <x:c r="T23" s="26" t="n">
        <x:f>MIN('Cable Raw'!I42:I51)</x:f>
        <x:v>10.850935067472678</x:v>
      </x:c>
      <x:c r="U23" s="26" t="n">
        <x:f>MAX('Cable Raw'!I42:I51)</x:f>
        <x:v>11.31389268760737</x:v>
      </x:c>
    </x:row>
    <x:row r="24">
      <x:c r="A24" t="str">
        <x:v>system_load</x:v>
      </x:c>
      <x:c r="B24" t="str">
        <x:v>1</x:v>
      </x:c>
      <x:c r="C24" t="n">
        <x:v>10</x:v>
      </x:c>
      <x:c r="D24" s="26" t="n">
        <x:f>AVERAGE('Load Raw'!G2:G11)</x:f>
        <x:v>11.299965391202809</x:v>
      </x:c>
      <x:c r="E24" s="26" t="n">
        <x:f>AVERAGE('Load Raw'!H2:H11)</x:f>
        <x:v>11.217174248173166</x:v>
      </x:c>
      <x:c r="F24" s="26" t="n">
        <x:f>AVERAGE('Load Raw'!I2:I11)</x:f>
        <x:v>10.867622682308651</x:v>
      </x:c>
      <x:c r="G24" s="26" t="n">
        <x:f>AVERAGE('Load Raw'!J2:J11)</x:f>
        <x:v>7.931158088647389</x:v>
      </x:c>
      <x:c r="H24" s="26" t="n">
        <x:f>AVERAGE('Load Raw'!K2:K11)</x:f>
        <x:v>6.440253290886015</x:v>
      </x:c>
      <x:c r="I24" s="29" t="n">
        <x:f>AVERAGE('Load Raw'!L2:L11)</x:f>
        <x:v>11.880664909616186</x:v>
      </x:c>
      <x:c r="J24" s="26" t="n">
        <x:f>STDEV.P('Load Raw'!G2:G11)</x:f>
        <x:v>0.00027460636040211255</x:v>
      </x:c>
      <x:c r="K24" s="26" t="n">
        <x:f>STDEV.P('Load Raw'!H2:H11)</x:f>
        <x:v>0.03943107052442783</x:v>
      </x:c>
      <x:c r="L24" s="26" t="n">
        <x:f>STDEV.P('Load Raw'!I2:I11)</x:f>
        <x:v>0.07207050270726476</x:v>
      </x:c>
      <x:c r="M24" s="26" t="n">
        <x:f>STDEV.P('Load Raw'!J2:J11)</x:f>
        <x:v>0.3937989255317649</x:v>
      </x:c>
      <x:c r="N24" s="26" t="n">
        <x:f>STDEV.P('Load Raw'!K2:K11)</x:f>
        <x:v>0.23868659159882186</x:v>
      </x:c>
      <x:c r="O24" s="29" t="n">
        <x:f>STDEV.P('Load Raw'!L2:L11)</x:f>
        <x:v>0.21000951172420582</x:v>
      </x:c>
      <x:c r="P24" t="n">
        <x:f>1+COUNTIF(D24:H24,"&gt;"&amp;I24)</x:f>
        <x:v>1</x:v>
      </x:c>
      <x:c r="Q24" t="n">
        <x:v>10</x:v>
      </x:c>
      <x:c r="R24" t="str">
        <x:v>B1</x:v>
      </x:c>
      <x:c r="S24" s="26" t="n">
        <x:f>I24-MAX(D24:H24)</x:f>
        <x:v>0.5806995184133772</x:v>
      </x:c>
      <x:c r="T24" s="26" t="n">
        <x:f>MIN('Load Raw'!L2:L11)</x:f>
        <x:v>11.53946148901181</x:v>
      </x:c>
      <x:c r="U24" s="26" t="n">
        <x:f>MAX('Load Raw'!L2:L11)</x:f>
        <x:v>12.31485338831408</x:v>
      </x:c>
    </x:row>
    <x:row r="25">
      <x:c r="A25" t="str">
        <x:v>system_load</x:v>
      </x:c>
      <x:c r="B25" t="str">
        <x:v>2</x:v>
      </x:c>
      <x:c r="C25" t="n">
        <x:v>10</x:v>
      </x:c>
      <x:c r="D25" s="26" t="n">
        <x:f>AVERAGE('Load Raw'!G12:G21)</x:f>
        <x:v>8.591504182031006</x:v>
      </x:c>
      <x:c r="E25" s="26" t="n">
        <x:f>AVERAGE('Load Raw'!H12:H21)</x:f>
        <x:v>10.307853613348367</x:v>
      </x:c>
      <x:c r="F25" s="26" t="n">
        <x:f>AVERAGE('Load Raw'!I12:I21)</x:f>
        <x:v>7.847269872097826</x:v>
      </x:c>
      <x:c r="G25" s="26" t="n">
        <x:f>AVERAGE('Load Raw'!J12:J21)</x:f>
        <x:v>5.943311848006155</x:v>
      </x:c>
      <x:c r="H25" s="26" t="n">
        <x:f>AVERAGE('Load Raw'!K12:K21)</x:f>
        <x:v>2.999604910517479</x:v>
      </x:c>
      <x:c r="I25" s="29" t="n">
        <x:f>AVERAGE('Load Raw'!L12:L21)</x:f>
        <x:v>10.917242371470294</x:v>
      </x:c>
      <x:c r="J25" s="26" t="n">
        <x:f>STDEV.P('Load Raw'!G12:G21)</x:f>
        <x:v>0.5046722623291353</x:v>
      </x:c>
      <x:c r="K25" s="26" t="n">
        <x:f>STDEV.P('Load Raw'!H12:H21)</x:f>
        <x:v>0.26849428364537026</x:v>
      </x:c>
      <x:c r="L25" s="26" t="n">
        <x:f>STDEV.P('Load Raw'!I12:I21)</x:f>
        <x:v>0.2976394290580352</x:v>
      </x:c>
      <x:c r="M25" s="26" t="n">
        <x:f>STDEV.P('Load Raw'!J12:J21)</x:f>
        <x:v>0.42475552027036845</x:v>
      </x:c>
      <x:c r="N25" s="26" t="n">
        <x:f>STDEV.P('Load Raw'!K12:K21)</x:f>
        <x:v>0.2722144098373553</x:v>
      </x:c>
      <x:c r="O25" s="29" t="n">
        <x:f>STDEV.P('Load Raw'!L12:L21)</x:f>
        <x:v>0.10963149879776367</x:v>
      </x:c>
      <x:c r="P25" t="n">
        <x:f>1+COUNTIF(D25:H25,"&gt;"&amp;I25)</x:f>
        <x:v>1</x:v>
      </x:c>
      <x:c r="Q25" t="n">
        <x:v>10</x:v>
      </x:c>
      <x:c r="R25" t="str">
        <x:v>B2</x:v>
      </x:c>
      <x:c r="S25" s="26" t="n">
        <x:f>I25-MAX(D25:H25)</x:f>
        <x:v>0.609388758121927</x:v>
      </x:c>
      <x:c r="T25" s="26" t="n">
        <x:f>MIN('Load Raw'!L12:L21)</x:f>
        <x:v>10.740321753695746</x:v>
      </x:c>
      <x:c r="U25" s="26" t="n">
        <x:f>MAX('Load Raw'!L12:L21)</x:f>
        <x:v>11.067623029300515</x:v>
      </x:c>
    </x:row>
    <x:row r="26">
      <x:c r="A26" t="str">
        <x:v>system_load</x:v>
      </x:c>
      <x:c r="B26" t="str">
        <x:v>3</x:v>
      </x:c>
      <x:c r="C26" t="n">
        <x:v>10</x:v>
      </x:c>
      <x:c r="D26" s="26" t="n">
        <x:f>AVERAGE('Load Raw'!G22:G31)</x:f>
        <x:v>4.775460295034778</x:v>
      </x:c>
      <x:c r="E26" s="26" t="n">
        <x:f>AVERAGE('Load Raw'!H22:H31)</x:f>
        <x:v>7.682722659068742</x:v>
      </x:c>
      <x:c r="F26" s="26" t="n">
        <x:f>AVERAGE('Load Raw'!I22:I31)</x:f>
        <x:v>6.086382424597533</x:v>
      </x:c>
      <x:c r="G26" s="26" t="n">
        <x:f>AVERAGE('Load Raw'!J22:J31)</x:f>
        <x:v>2.1404562145917687</x:v>
      </x:c>
      <x:c r="H26" s="26" t="n">
        <x:f>AVERAGE('Load Raw'!K22:K31)</x:f>
        <x:v>2.112769096175346</x:v>
      </x:c>
      <x:c r="I26" s="29" t="n">
        <x:f>AVERAGE('Load Raw'!L22:L31)</x:f>
        <x:v>8.139589099973339</x:v>
      </x:c>
      <x:c r="J26" s="26" t="n">
        <x:f>STDEV.P('Load Raw'!G22:G31)</x:f>
        <x:v>0.21761300388898636</x:v>
      </x:c>
      <x:c r="K26" s="26" t="n">
        <x:f>STDEV.P('Load Raw'!H22:H31)</x:f>
        <x:v>0.3044789022125499</x:v>
      </x:c>
      <x:c r="L26" s="26" t="n">
        <x:f>STDEV.P('Load Raw'!I22:I31)</x:f>
        <x:v>0.45150494808041686</x:v>
      </x:c>
      <x:c r="M26" s="26" t="n">
        <x:f>STDEV.P('Load Raw'!J22:J31)</x:f>
        <x:v>0.1766705884715183</x:v>
      </x:c>
      <x:c r="N26" s="26" t="n">
        <x:f>STDEV.P('Load Raw'!K22:K31)</x:f>
        <x:v>0.09983497742442139</x:v>
      </x:c>
      <x:c r="O26" s="29" t="n">
        <x:f>STDEV.P('Load Raw'!L22:L31)</x:f>
        <x:v>0.33312260817856243</x:v>
      </x:c>
      <x:c r="P26" t="n">
        <x:f>1+COUNTIF(D26:H26,"&gt;"&amp;I26)</x:f>
        <x:v>1</x:v>
      </x:c>
      <x:c r="Q26" t="n">
        <x:v>10</x:v>
      </x:c>
      <x:c r="R26" t="str">
        <x:v>B2</x:v>
      </x:c>
      <x:c r="S26" s="26" t="n">
        <x:f>I26-MAX(D26:H26)</x:f>
        <x:v>0.45686644090459705</x:v>
      </x:c>
      <x:c r="T26" s="26" t="n">
        <x:f>MIN('Load Raw'!L22:L31)</x:f>
        <x:v>7.688614736935373</x:v>
      </x:c>
      <x:c r="U26" s="26" t="n">
        <x:f>MAX('Load Raw'!L22:L31)</x:f>
        <x:v>8.787243639867995</x:v>
      </x:c>
    </x:row>
  </x:sheetData>
  <x:mergeCells>
    <x:mergeCell ref="A1:U1"/>
  </x:mergeCells>
  <x:conditionalFormatting sqref="P8:P26">
    <x:cfRule type="cellIs" dxfId="0" priority="1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58" hidden="0" customWidth="1"/>
    <x:col min="3" max="3" width="9.130000114440918" hidden="0" customWidth="1"/>
    <x:col min="4" max="4" width="11.75" hidden="0" customWidth="1"/>
    <x:col min="5" max="5" width="10.130000114440918" hidden="0" customWidth="1"/>
    <x:col min="6" max="6" width="8.130000114440918" hidden="0" customWidth="1"/>
    <x:col min="7" max="7" width="6.25" hidden="0" customWidth="1"/>
    <x:col min="8" max="8" width="9.25" hidden="0" customWidth="1"/>
    <x:col min="9" max="9" width="10.25" hidden="0" customWidth="1"/>
  </x:cols>
  <x:sheetData>
    <x:row r="1">
      <x:c r="A1" s="34" t="str">
        <x:v>Stage 8 Proposed Anomaly Check</x:v>
      </x:c>
      <x:c r="B1" s="34"/>
      <x:c r="C1" s="34"/>
      <x:c r="D1" s="34"/>
      <x:c r="E1" s="34"/>
      <x:c r="F1" s="34"/>
      <x:c r="G1" s="34"/>
      <x:c r="H1" s="34"/>
      <x:c r="I1" s="34"/>
    </x:row>
    <x:row r="3">
      <x:c r="A3" s="39" t="str">
        <x:v>Criterion</x:v>
      </x:c>
      <x:c r="B3" s="39" t="str">
        <x:v>Result</x:v>
      </x:c>
    </x:row>
    <x:row r="4">
      <x:c r="A4" t="str">
        <x:v>Proposed not rank #1 in a scene</x:v>
      </x:c>
      <x:c r="B4" t="n">
        <x:v>0</x:v>
      </x:c>
    </x:row>
    <x:row r="5">
      <x:c r="A5" t="str">
        <x:v>Proposed |z| &gt; 2 within same condition</x:v>
      </x:c>
      <x:c r="B5" t="n">
        <x:v>3</x:v>
      </x:c>
    </x:row>
    <x:row r="6">
      <x:c r="A6" t="str">
        <x:v>NaN / Inf in five CSV WSR fields</x:v>
      </x:c>
      <x:c r="B6" t="n">
        <x:v>0</x:v>
      </x:c>
    </x:row>
    <x:row r="8">
      <x:c r="A8" s="42" t="str">
        <x:v>Experiment</x:v>
      </x:c>
      <x:c r="B8" s="42" t="str">
        <x:v>Condition</x:v>
      </x:c>
      <x:c r="C8" s="42" t="str">
        <x:v>Scene Seed</x:v>
      </x:c>
      <x:c r="D8" s="42" t="str">
        <x:v>Proposed WSR</x:v>
      </x:c>
      <x:c r="E8" s="42" t="str">
        <x:v>Group Mean</x:v>
      </x:c>
      <x:c r="F8" s="42" t="str">
        <x:v>Group Std</x:v>
      </x:c>
      <x:c r="G8" s="42" t="str">
        <x:v>Z-score</x:v>
      </x:c>
      <x:c r="H8" s="42" t="str">
        <x:v>Scene Rank</x:v>
      </x:c>
      <x:c r="I8" s="42" t="str">
        <x:v>Margin to #2</x:v>
      </x:c>
    </x:row>
    <x:row r="9">
      <x:c r="A9" t="str">
        <x:v>cable_length</x:v>
      </x:c>
      <x:c r="B9" t="str">
        <x:v>0.5</x:v>
      </x:c>
      <x:c r="C9" t="n">
        <x:v>8003</x:v>
      </x:c>
      <x:c r="D9" s="26" t="n">
        <x:v>10.650345330403342</x:v>
      </x:c>
      <x:c r="E9" s="26" t="n">
        <x:v>10.938754102460635</x:v>
      </x:c>
      <x:c r="F9" s="26" t="n">
        <x:v>0.1355479641566026</x:v>
      </x:c>
      <x:c r="G9" s="26" t="n">
        <x:v>-2.127724852614429</x:v>
      </x:c>
      <x:c r="H9" t="n">
        <x:v>1</x:v>
      </x:c>
      <x:c r="I9" s="26" t="n">
        <x:v>0.06524347565119548</x:v>
      </x:c>
    </x:row>
    <x:row r="10">
      <x:c r="A10" t="str">
        <x:v>cable_length</x:v>
      </x:c>
      <x:c r="B10" t="str">
        <x:v>0.5</x:v>
      </x:c>
      <x:c r="C10" t="n">
        <x:v>8007</x:v>
      </x:c>
      <x:c r="D10" s="26" t="n">
        <x:v>11.214946014542363</x:v>
      </x:c>
      <x:c r="E10" s="26" t="n">
        <x:v>10.938754102460635</x:v>
      </x:c>
      <x:c r="F10" s="26" t="n">
        <x:v>0.1355479641566026</x:v>
      </x:c>
      <x:c r="G10" s="26" t="n">
        <x:v>2.037595428306363</x:v>
      </x:c>
      <x:c r="H10" t="n">
        <x:v>1</x:v>
      </x:c>
      <x:c r="I10" s="26" t="n">
        <x:v>0.5860043717829342</x:v>
      </x:c>
    </x:row>
    <x:row r="11">
      <x:c r="A11" t="str">
        <x:v>system_load</x:v>
      </x:c>
      <x:c r="B11" t="str">
        <x:v>1</x:v>
      </x:c>
      <x:c r="C11" t="n">
        <x:v>8005</x:v>
      </x:c>
      <x:c r="D11" s="26" t="n">
        <x:v>12.31485338831408</x:v>
      </x:c>
      <x:c r="E11" s="26" t="n">
        <x:v>11.880664909616184</x:v>
      </x:c>
      <x:c r="F11" s="26" t="n">
        <x:v>0.21000951172420584</x:v>
      </x:c>
      <x:c r="G11" s="26" t="n">
        <x:v>2.0674705404205334</x:v>
      </x:c>
      <x:c r="H11" t="n">
        <x:v>1</x:v>
      </x:c>
      <x:c r="I11" s="26" t="n">
        <x:v>1.01471593944148</x:v>
      </x:c>
    </x:row>
    <x:row r="13">
      <x:c r="A13" s="48" t="str">
        <x:v>Interpretation</x:v>
      </x:c>
      <x:c r="B13" s="48"/>
      <x:c r="C13" s="48"/>
      <x:c r="D13" s="48"/>
      <x:c r="E13" s="48"/>
      <x:c r="F13" s="48"/>
      <x:c r="G13" s="48"/>
      <x:c r="H13" s="48"/>
      <x:c r="I13" s="48"/>
    </x:row>
    <x:row r="14">
      <x:c r="A14" s="49" t="str">
        <x:v>Rank anomaly</x:v>
      </x:c>
      <x:c r="B14" s="49" t="str">
        <x:v>A real concern: Proposed loses to a baseline in the same scene.</x:v>
      </x:c>
      <x:c r="C14" s="49"/>
      <x:c r="D14" s="49"/>
      <x:c r="E14" s="49"/>
      <x:c r="F14" s="49"/>
      <x:c r="G14" s="49"/>
      <x:c r="H14" s="49"/>
      <x:c r="I14" s="49"/>
    </x:row>
    <x:row r="15">
      <x:c r="A15" s="49" t="str">
        <x:v>&gt;2σ flag</x:v>
      </x:c>
      <x:c r="B15" s="49" t="str">
        <x:v>A statistical extreme point for N=10; not automatically an algorithm error.</x:v>
      </x:c>
      <x:c r="C15" s="49"/>
      <x:c r="D15" s="49"/>
      <x:c r="E15" s="49"/>
      <x:c r="F15" s="49"/>
      <x:c r="G15" s="49"/>
      <x:c r="H15" s="49"/>
      <x:c r="I15" s="49"/>
    </x:row>
    <x:row r="16">
      <x:c r="A16" s="49" t="str">
        <x:v>Current conclusion</x:v>
      </x:c>
      <x:c r="B16" s="49" t="str">
        <x:v>No rank failures. The three &gt;2σ Proposed points still rank #1.</x:v>
      </x:c>
      <x:c r="C16" s="49"/>
      <x:c r="D16" s="49"/>
      <x:c r="E16" s="49"/>
      <x:c r="F16" s="49"/>
      <x:c r="G16" s="49"/>
      <x:c r="H16" s="49"/>
      <x:c r="I16" s="49"/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0.25" hidden="0" customWidth="1"/>
    <x:col min="3" max="3" width="11.130000114440918" hidden="0" customWidth="1"/>
    <x:col min="4" max="4" width="10.630000114440918" hidden="0" customWidth="1"/>
    <x:col min="5" max="5" width="11.130000114440918" hidden="0" customWidth="1"/>
    <x:col min="6" max="6" width="9.5" hidden="0" customWidth="1"/>
    <x:col min="7" max="7" width="10.25" hidden="0" customWidth="1"/>
    <x:col min="8" max="8" width="11.130000114440918" hidden="0" customWidth="1"/>
    <x:col min="9" max="9" width="10.630000114440918" hidden="0" customWidth="1"/>
    <x:col min="10" max="10" width="11.130000114440918" hidden="0" customWidth="1"/>
    <x:col min="11" max="11" width="9.5" hidden="0" customWidth="1"/>
    <x:col min="12" max="12" width="10.25" hidden="0" customWidth="1"/>
    <x:col min="13" max="13" width="11.130000114440918" hidden="0" customWidth="1"/>
    <x:col min="14" max="14" width="10.630000114440918" hidden="0" customWidth="1"/>
    <x:col min="15" max="15" width="11.130000114440918" hidden="0" customWidth="1"/>
    <x:col min="16" max="16" width="9.5" hidden="0" customWidth="1"/>
    <x:col min="17" max="17" width="10.25" hidden="0" customWidth="1"/>
    <x:col min="18" max="18" width="11.130000114440918" hidden="0" customWidth="1"/>
    <x:col min="19" max="19" width="10.630000114440918" hidden="0" customWidth="1"/>
    <x:col min="20" max="20" width="11.130000114440918" hidden="0" customWidth="1"/>
    <x:col min="21" max="21" width="9.5" hidden="0" customWidth="1"/>
    <x:col min="22" max="22" width="10.25" hidden="0" customWidth="1"/>
    <x:col min="23" max="23" width="11.130000114440918" hidden="0" customWidth="1"/>
    <x:col min="24" max="24" width="10.630000114440918" hidden="0" customWidth="1"/>
    <x:col min="25" max="25" width="11.130000114440918" hidden="0" customWidth="1"/>
    <x:col min="26" max="26" width="9.5" hidden="0" customWidth="1"/>
    <x:col min="27" max="27" width="11.380000114440918" hidden="0" customWidth="1"/>
    <x:col min="28" max="28" width="16.3799991607666" hidden="0" customWidth="1"/>
    <x:col min="29" max="29" width="15.880000114440918" hidden="0" customWidth="1"/>
    <x:col min="30" max="30" width="16.3799991607666" hidden="0" customWidth="1"/>
    <x:col min="31" max="31" width="14.880000114440918" hidden="0" customWidth="1"/>
  </x:cols>
  <x:sheetData>
    <x:row r="1">
      <x:c r="A1" s="5" t="str">
        <x:v>scene_seed</x:v>
      </x:c>
      <x:c r="B1" s="5" t="str">
        <x:v>b1_wsr</x:v>
      </x:c>
      <x:c r="C1" s="5" t="str">
        <x:v>b1_best_seed</x:v>
      </x:c>
      <x:c r="D1" s="5" t="str">
        <x:v>b1_iterations</x:v>
      </x:c>
      <x:c r="E1" s="5" t="str">
        <x:v>b1_runtime_s</x:v>
      </x:c>
      <x:c r="F1" s="5" t="str">
        <x:v>b1_n_starts</x:v>
      </x:c>
      <x:c r="G1" s="5" t="str">
        <x:v>b2_wsr</x:v>
      </x:c>
      <x:c r="H1" s="5" t="str">
        <x:v>b2_best_seed</x:v>
      </x:c>
      <x:c r="I1" s="5" t="str">
        <x:v>b2_iterations</x:v>
      </x:c>
      <x:c r="J1" s="5" t="str">
        <x:v>b2_runtime_s</x:v>
      </x:c>
      <x:c r="K1" s="5" t="str">
        <x:v>b2_n_starts</x:v>
      </x:c>
      <x:c r="L1" s="5" t="str">
        <x:v>b3_wsr</x:v>
      </x:c>
      <x:c r="M1" s="5" t="str">
        <x:v>b3_best_seed</x:v>
      </x:c>
      <x:c r="N1" s="5" t="str">
        <x:v>b3_iterations</x:v>
      </x:c>
      <x:c r="O1" s="5" t="str">
        <x:v>b3_runtime_s</x:v>
      </x:c>
      <x:c r="P1" s="5" t="str">
        <x:v>b3_n_starts</x:v>
      </x:c>
      <x:c r="Q1" s="5" t="str">
        <x:v>b4_wsr</x:v>
      </x:c>
      <x:c r="R1" s="5" t="str">
        <x:v>b4_best_seed</x:v>
      </x:c>
      <x:c r="S1" s="5" t="str">
        <x:v>b4_iterations</x:v>
      </x:c>
      <x:c r="T1" s="5" t="str">
        <x:v>b4_runtime_s</x:v>
      </x:c>
      <x:c r="U1" s="5" t="str">
        <x:v>b4_n_starts</x:v>
      </x:c>
      <x:c r="V1" s="5" t="str">
        <x:v>b5_wsr</x:v>
      </x:c>
      <x:c r="W1" s="5" t="str">
        <x:v>b5_best_seed</x:v>
      </x:c>
      <x:c r="X1" s="5" t="str">
        <x:v>b5_iterations</x:v>
      </x:c>
      <x:c r="Y1" s="5" t="str">
        <x:v>b5_runtime_s</x:v>
      </x:c>
      <x:c r="Z1" s="5" t="str">
        <x:v>b5_n_starts</x:v>
      </x:c>
      <x:c r="AA1" s="5" t="str">
        <x:v>proposed_wsr</x:v>
      </x:c>
      <x:c r="AB1" s="5" t="str">
        <x:v>proposed_best_seed</x:v>
      </x:c>
      <x:c r="AC1" s="5" t="str">
        <x:v>proposed_iterations</x:v>
      </x:c>
      <x:c r="AD1" s="5" t="str">
        <x:v>proposed_runtime_s</x:v>
      </x:c>
      <x:c r="AE1" s="5" t="str">
        <x:v>proposed_n_starts</x:v>
      </x:c>
    </x:row>
    <x:row r="2">
      <x:c r="A2" t="n">
        <x:v>8001</x:v>
      </x:c>
      <x:c r="B2" t="n">
        <x:v>8.43429716740991</x:v>
      </x:c>
      <x:c r="C2" t="n">
        <x:v>2029</x:v>
      </x:c>
      <x:c r="D2" t="n">
        <x:v>28</x:v>
      </x:c>
      <x:c r="E2" t="n">
        <x:v>4.848785300004238</x:v>
      </x:c>
      <x:c r="F2" t="n">
        <x:v>5</x:v>
      </x:c>
      <x:c r="G2" t="n">
        <x:v>10.59041912411183</x:v>
      </x:c>
      <x:c r="H2" t="n">
        <x:v>2026</x:v>
      </x:c>
      <x:c r="I2" t="n">
        <x:v>321</x:v>
      </x:c>
      <x:c r="J2" t="n">
        <x:v>1.0342168000024685</x:v>
      </x:c>
      <x:c r="K2" t="n">
        <x:v>5</x:v>
      </x:c>
      <x:c r="L2" t="n">
        <x:v>7.829040627776086</x:v>
      </x:c>
      <x:c r="M2" t="n">
        <x:v>2026</x:v>
      </x:c>
      <x:c r="N2" t="n">
        <x:v>82</x:v>
      </x:c>
      <x:c r="O2" t="n">
        <x:v>0.09396759999799542</x:v>
      </x:c>
      <x:c r="P2" t="n">
        <x:v>1</x:v>
      </x:c>
      <x:c r="Q2" t="n">
        <x:v>6.470819119007356</x:v>
      </x:c>
      <x:c r="R2" t="n">
        <x:v>2026</x:v>
      </x:c>
      <x:c r="S2" t="n">
        <x:v>0</x:v>
      </x:c>
      <x:c r="T2" t="n">
        <x:v>0.004152299999987008</x:v>
      </x:c>
      <x:c r="U2" t="n">
        <x:v>5</x:v>
      </x:c>
      <x:c r="V2" t="n">
        <x:v>3.064073629210867</x:v>
      </x:c>
      <x:c r="W2" t="n">
        <x:v>2026</x:v>
      </x:c>
      <x:c r="X2" t="n">
        <x:v>0</x:v>
      </x:c>
      <x:c r="Y2" t="n">
        <x:v>0.0008189000000129454</x:v>
      </x:c>
      <x:c r="Z2" t="n">
        <x:v>1</x:v>
      </x:c>
      <x:c r="AA2" t="n">
        <x:v>11.001612568664072</x:v>
      </x:c>
      <x:c r="AB2" t="n">
        <x:v>2029</x:v>
      </x:c>
      <x:c r="AC2" t="n">
        <x:v>305</x:v>
      </x:c>
      <x:c r="AD2" t="n">
        <x:v>38.461206700008916</x:v>
      </x:c>
      <x:c r="AE2" t="n">
        <x:v>5</x:v>
      </x:c>
    </x:row>
    <x:row r="3">
      <x:c r="A3" t="n">
        <x:v>8002</x:v>
      </x:c>
      <x:c r="B3" t="n">
        <x:v>8.45971634215669</x:v>
      </x:c>
      <x:c r="C3" t="n">
        <x:v>2027</x:v>
      </x:c>
      <x:c r="D3" t="n">
        <x:v>27</x:v>
      </x:c>
      <x:c r="E3" t="n">
        <x:v>7.465501299997413</x:v>
      </x:c>
      <x:c r="F3" t="n">
        <x:v>5</x:v>
      </x:c>
      <x:c r="G3" t="n">
        <x:v>10.314807399880067</x:v>
      </x:c>
      <x:c r="H3" t="n">
        <x:v>2030</x:v>
      </x:c>
      <x:c r="I3" t="n">
        <x:v>391</x:v>
      </x:c>
      <x:c r="J3" t="n">
        <x:v>2.304750299994339</x:v>
      </x:c>
      <x:c r="K3" t="n">
        <x:v>5</x:v>
      </x:c>
      <x:c r="L3" t="n">
        <x:v>7.8477476482958</x:v>
      </x:c>
      <x:c r="M3" t="n">
        <x:v>2026</x:v>
      </x:c>
      <x:c r="N3" t="n">
        <x:v>93</x:v>
      </x:c>
      <x:c r="O3" t="n">
        <x:v>0.12428409999847645</x:v>
      </x:c>
      <x:c r="P3" t="n">
        <x:v>1</x:v>
      </x:c>
      <x:c r="Q3" t="n">
        <x:v>5.901375616825838</x:v>
      </x:c>
      <x:c r="R3" t="n">
        <x:v>2030</x:v>
      </x:c>
      <x:c r="S3" t="n">
        <x:v>0</x:v>
      </x:c>
      <x:c r="T3" t="n">
        <x:v>0.004099800000403775</x:v>
      </x:c>
      <x:c r="U3" t="n">
        <x:v>5</x:v>
      </x:c>
      <x:c r="V3" t="n">
        <x:v>2.8296714238311704</x:v>
      </x:c>
      <x:c r="W3" t="n">
        <x:v>2026</x:v>
      </x:c>
      <x:c r="X3" t="n">
        <x:v>0</x:v>
      </x:c>
      <x:c r="Y3" t="n">
        <x:v>0.0007974000000103842</x:v>
      </x:c>
      <x:c r="Z3" t="n">
        <x:v>1</x:v>
      </x:c>
      <x:c r="AA3" t="n">
        <x:v>10.859006836214562</x:v>
      </x:c>
      <x:c r="AB3" t="n">
        <x:v>2028</x:v>
      </x:c>
      <x:c r="AC3" t="n">
        <x:v>217</x:v>
      </x:c>
      <x:c r="AD3" t="n">
        <x:v>29.061654199998884</x:v>
      </x:c>
      <x:c r="AE3" t="n">
        <x:v>5</x:v>
      </x:c>
    </x:row>
    <x:row r="4">
      <x:c r="A4" t="n">
        <x:v>8003</x:v>
      </x:c>
      <x:c r="B4" t="n">
        <x:v>8.224625151639021</x:v>
      </x:c>
      <x:c r="C4" t="n">
        <x:v>2029</x:v>
      </x:c>
      <x:c r="D4" t="n">
        <x:v>43</x:v>
      </x:c>
      <x:c r="E4" t="n">
        <x:v>10.134392100004334</x:v>
      </x:c>
      <x:c r="F4" t="n">
        <x:v>5</x:v>
      </x:c>
      <x:c r="G4" t="n">
        <x:v>10.543928866130575</x:v>
      </x:c>
      <x:c r="H4" t="n">
        <x:v>2026</x:v>
      </x:c>
      <x:c r="I4" t="n">
        <x:v>628</x:v>
      </x:c>
      <x:c r="J4" t="n">
        <x:v>2.03758839999864</x:v>
      </x:c>
      <x:c r="K4" t="n">
        <x:v>5</x:v>
      </x:c>
      <x:c r="L4" t="n">
        <x:v>7.756684293644977</x:v>
      </x:c>
      <x:c r="M4" t="n">
        <x:v>2026</x:v>
      </x:c>
      <x:c r="N4" t="n">
        <x:v>60</x:v>
      </x:c>
      <x:c r="O4" t="n">
        <x:v>0.07342489999791724</x:v>
      </x:c>
      <x:c r="P4" t="n">
        <x:v>1</x:v>
      </x:c>
      <x:c r="Q4" t="n">
        <x:v>6.082949773946507</x:v>
      </x:c>
      <x:c r="R4" t="n">
        <x:v>2026</x:v>
      </x:c>
      <x:c r="S4" t="n">
        <x:v>0</x:v>
      </x:c>
      <x:c r="T4" t="n">
        <x:v>0.005378399997425731</x:v>
      </x:c>
      <x:c r="U4" t="n">
        <x:v>5</x:v>
      </x:c>
      <x:c r="V4" t="n">
        <x:v>2.9124599865246585</x:v>
      </x:c>
      <x:c r="W4" t="n">
        <x:v>2026</x:v>
      </x:c>
      <x:c r="X4" t="n">
        <x:v>0</x:v>
      </x:c>
      <x:c r="Y4" t="n">
        <x:v>0.0008214999979827553</x:v>
      </x:c>
      <x:c r="Z4" t="n">
        <x:v>1</x:v>
      </x:c>
      <x:c r="AA4" t="n">
        <x:v>11.012617056214117</x:v>
      </x:c>
      <x:c r="AB4" t="n">
        <x:v>2028</x:v>
      </x:c>
      <x:c r="AC4" t="n">
        <x:v>261</x:v>
      </x:c>
      <x:c r="AD4" t="n">
        <x:v>26.031701500000054</x:v>
      </x:c>
      <x:c r="AE4" t="n">
        <x:v>5</x:v>
      </x:c>
    </x:row>
    <x:row r="5">
      <x:c r="A5" t="n">
        <x:v>8004</x:v>
      </x:c>
      <x:c r="B5" t="n">
        <x:v>9.110881043093562</x:v>
      </x:c>
      <x:c r="C5" t="n">
        <x:v>2029</x:v>
      </x:c>
      <x:c r="D5" t="n">
        <x:v>49</x:v>
      </x:c>
      <x:c r="E5" t="n">
        <x:v>8.661517200001981</x:v>
      </x:c>
      <x:c r="F5" t="n">
        <x:v>5</x:v>
      </x:c>
      <x:c r="G5" t="n">
        <x:v>10.372249677914883</x:v>
      </x:c>
      <x:c r="H5" t="n">
        <x:v>2030</x:v>
      </x:c>
      <x:c r="I5" t="n">
        <x:v>279</x:v>
      </x:c>
      <x:c r="J5" t="n">
        <x:v>1.4072357000004558</x:v>
      </x:c>
      <x:c r="K5" t="n">
        <x:v>5</x:v>
      </x:c>
      <x:c r="L5" t="n">
        <x:v>7.992382912026051</x:v>
      </x:c>
      <x:c r="M5" t="n">
        <x:v>2026</x:v>
      </x:c>
      <x:c r="N5" t="n">
        <x:v>112</x:v>
      </x:c>
      <x:c r="O5" t="n">
        <x:v>0.1136925999999221</x:v>
      </x:c>
      <x:c r="P5" t="n">
        <x:v>1</x:v>
      </x:c>
      <x:c r="Q5" t="n">
        <x:v>5.629510711258833</x:v>
      </x:c>
      <x:c r="R5" t="n">
        <x:v>2030</x:v>
      </x:c>
      <x:c r="S5" t="n">
        <x:v>0</x:v>
      </x:c>
      <x:c r="T5" t="n">
        <x:v>0.0058852000038314145</x:v>
      </x:c>
      <x:c r="U5" t="n">
        <x:v>5</x:v>
      </x:c>
      <x:c r="V5" t="n">
        <x:v>3.1438241936376388</x:v>
      </x:c>
      <x:c r="W5" t="n">
        <x:v>2026</x:v>
      </x:c>
      <x:c r="X5" t="n">
        <x:v>0</x:v>
      </x:c>
      <x:c r="Y5" t="n">
        <x:v>0.0009744000017235521</x:v>
      </x:c>
      <x:c r="Z5" t="n">
        <x:v>1</x:v>
      </x:c>
      <x:c r="AA5" t="n">
        <x:v>10.966976979653285</x:v>
      </x:c>
      <x:c r="AB5" t="n">
        <x:v>2030</x:v>
      </x:c>
      <x:c r="AC5" t="n">
        <x:v>206</x:v>
      </x:c>
      <x:c r="AD5" t="n">
        <x:v>43.383915999995224</x:v>
      </x:c>
      <x:c r="AE5" t="n">
        <x:v>5</x:v>
      </x:c>
    </x:row>
    <x:row r="6">
      <x:c r="A6" t="n">
        <x:v>8005</x:v>
      </x:c>
      <x:c r="B6" t="n">
        <x:v>7.813596498598386</x:v>
      </x:c>
      <x:c r="C6" t="n">
        <x:v>2028</x:v>
      </x:c>
      <x:c r="D6" t="n">
        <x:v>22</x:v>
      </x:c>
      <x:c r="E6" t="n">
        <x:v>4.445468699996127</x:v>
      </x:c>
      <x:c r="F6" t="n">
        <x:v>5</x:v>
      </x:c>
      <x:c r="G6" t="n">
        <x:v>9.620565006012761</x:v>
      </x:c>
      <x:c r="H6" t="n">
        <x:v>2028</x:v>
      </x:c>
      <x:c r="I6" t="n">
        <x:v>281</x:v>
      </x:c>
      <x:c r="J6" t="n">
        <x:v>1.1217886000013095</x:v>
      </x:c>
      <x:c r="K6" t="n">
        <x:v>5</x:v>
      </x:c>
      <x:c r="L6" t="n">
        <x:v>7.939976731540365</x:v>
      </x:c>
      <x:c r="M6" t="n">
        <x:v>2026</x:v>
      </x:c>
      <x:c r="N6" t="n">
        <x:v>66</x:v>
      </x:c>
      <x:c r="O6" t="n">
        <x:v>0.06267279999883613</x:v>
      </x:c>
      <x:c r="P6" t="n">
        <x:v>1</x:v>
      </x:c>
      <x:c r="Q6" t="n">
        <x:v>4.925853530907535</x:v>
      </x:c>
      <x:c r="R6" t="n">
        <x:v>2027</x:v>
      </x:c>
      <x:c r="S6" t="n">
        <x:v>0</x:v>
      </x:c>
      <x:c r="T6" t="n">
        <x:v>0.0037033000007795636</x:v>
      </x:c>
      <x:c r="U6" t="n">
        <x:v>5</x:v>
      </x:c>
      <x:c r="V6" t="n">
        <x:v>3.0868306419144025</x:v>
      </x:c>
      <x:c r="W6" t="n">
        <x:v>2026</x:v>
      </x:c>
      <x:c r="X6" t="n">
        <x:v>0</x:v>
      </x:c>
      <x:c r="Y6" t="n">
        <x:v>0.000726799997210037</x:v>
      </x:c>
      <x:c r="Z6" t="n">
        <x:v>1</x:v>
      </x:c>
      <x:c r="AA6" t="n">
        <x:v>10.740321753695746</x:v>
      </x:c>
      <x:c r="AB6" t="n">
        <x:v>2027</x:v>
      </x:c>
      <x:c r="AC6" t="n">
        <x:v>284</x:v>
      </x:c>
      <x:c r="AD6" t="n">
        <x:v>31.28577529999893</x:v>
      </x:c>
      <x:c r="AE6" t="n">
        <x:v>5</x:v>
      </x:c>
    </x:row>
    <x:row r="7">
      <x:c r="A7" t="n">
        <x:v>8006</x:v>
      </x:c>
      <x:c r="B7" t="n">
        <x:v>8.519280669503921</x:v>
      </x:c>
      <x:c r="C7" t="n">
        <x:v>2028</x:v>
      </x:c>
      <x:c r="D7" t="n">
        <x:v>42</x:v>
      </x:c>
      <x:c r="E7" t="n">
        <x:v>6.937286700002005</x:v>
      </x:c>
      <x:c r="F7" t="n">
        <x:v>5</x:v>
      </x:c>
      <x:c r="G7" t="n">
        <x:v>10.403253420511806</x:v>
      </x:c>
      <x:c r="H7" t="n">
        <x:v>2029</x:v>
      </x:c>
      <x:c r="I7" t="n">
        <x:v>409</x:v>
      </x:c>
      <x:c r="J7" t="n">
        <x:v>1.7152614000005997</x:v>
      </x:c>
      <x:c r="K7" t="n">
        <x:v>5</x:v>
      </x:c>
      <x:c r="L7" t="n">
        <x:v>8.492090915038984</x:v>
      </x:c>
      <x:c r="M7" t="n">
        <x:v>2026</x:v>
      </x:c>
      <x:c r="N7" t="n">
        <x:v>199</x:v>
      </x:c>
      <x:c r="O7" t="n">
        <x:v>0.16826709999804734</x:v>
      </x:c>
      <x:c r="P7" t="n">
        <x:v>1</x:v>
      </x:c>
      <x:c r="Q7" t="n">
        <x:v>6.095676624859248</x:v>
      </x:c>
      <x:c r="R7" t="n">
        <x:v>2029</x:v>
      </x:c>
      <x:c r="S7" t="n">
        <x:v>0</x:v>
      </x:c>
      <x:c r="T7" t="n">
        <x:v>0.0035168000067642424</x:v>
      </x:c>
      <x:c r="U7" t="n">
        <x:v>5</x:v>
      </x:c>
      <x:c r="V7" t="n">
        <x:v>3.631450939919371</x:v>
      </x:c>
      <x:c r="W7" t="n">
        <x:v>2026</x:v>
      </x:c>
      <x:c r="X7" t="n">
        <x:v>0</x:v>
      </x:c>
      <x:c r="Y7" t="n">
        <x:v>0.000674899998557521</x:v>
      </x:c>
      <x:c r="Z7" t="n">
        <x:v>1</x:v>
      </x:c>
      <x:c r="AA7" t="n">
        <x:v>10.940387534959488</x:v>
      </x:c>
      <x:c r="AB7" t="n">
        <x:v>2029</x:v>
      </x:c>
      <x:c r="AC7" t="n">
        <x:v>234</x:v>
      </x:c>
      <x:c r="AD7" t="n">
        <x:v>29.542426299998624</x:v>
      </x:c>
      <x:c r="AE7" t="n">
        <x:v>5</x:v>
      </x:c>
    </x:row>
    <x:row r="8">
      <x:c r="A8" t="n">
        <x:v>8007</x:v>
      </x:c>
      <x:c r="B8" t="n">
        <x:v>8.10577948524617</x:v>
      </x:c>
      <x:c r="C8" t="n">
        <x:v>2029</x:v>
      </x:c>
      <x:c r="D8" t="n">
        <x:v>17</x:v>
      </x:c>
      <x:c r="E8" t="n">
        <x:v>4.697888200003945</x:v>
      </x:c>
      <x:c r="F8" t="n">
        <x:v>5</x:v>
      </x:c>
      <x:c r="G8" t="n">
        <x:v>10.43980752618208</x:v>
      </x:c>
      <x:c r="H8" t="n">
        <x:v>2029</x:v>
      </x:c>
      <x:c r="I8" t="n">
        <x:v>241</x:v>
      </x:c>
      <x:c r="J8" t="n">
        <x:v>1.068161199997121</x:v>
      </x:c>
      <x:c r="K8" t="n">
        <x:v>5</x:v>
      </x:c>
      <x:c r="L8" t="n">
        <x:v>7.6571150641465575</x:v>
      </x:c>
      <x:c r="M8" t="n">
        <x:v>2026</x:v>
      </x:c>
      <x:c r="N8" t="n">
        <x:v>106</x:v>
      </x:c>
      <x:c r="O8" t="n">
        <x:v>0.08735759999763104</x:v>
      </x:c>
      <x:c r="P8" t="n">
        <x:v>1</x:v>
      </x:c>
      <x:c r="Q8" t="n">
        <x:v>6.4734569220908895</x:v>
      </x:c>
      <x:c r="R8" t="n">
        <x:v>2029</x:v>
      </x:c>
      <x:c r="S8" t="n">
        <x:v>0</x:v>
      </x:c>
      <x:c r="T8" t="n">
        <x:v>0.003513899999234127</x:v>
      </x:c>
      <x:c r="U8" t="n">
        <x:v>5</x:v>
      </x:c>
      <x:c r="V8" t="n">
        <x:v>2.7488065574964424</x:v>
      </x:c>
      <x:c r="W8" t="n">
        <x:v>2026</x:v>
      </x:c>
      <x:c r="X8" t="n">
        <x:v>0</x:v>
      </x:c>
      <x:c r="Y8" t="n">
        <x:v>0.0006632000004174188</x:v>
      </x:c>
      <x:c r="Z8" t="n">
        <x:v>1</x:v>
      </x:c>
      <x:c r="AA8" t="n">
        <x:v>11.067623029300515</x:v>
      </x:c>
      <x:c r="AB8" t="n">
        <x:v>2027</x:v>
      </x:c>
      <x:c r="AC8" t="n">
        <x:v>378</x:v>
      </x:c>
      <x:c r="AD8" t="n">
        <x:v>21.093727800001943</x:v>
      </x:c>
      <x:c r="AE8" t="n">
        <x:v>5</x:v>
      </x:c>
    </x:row>
    <x:row r="9">
      <x:c r="A9" t="n">
        <x:v>8008</x:v>
      </x:c>
      <x:c r="B9" t="n">
        <x:v>9.514805323193157</x:v>
      </x:c>
      <x:c r="C9" t="n">
        <x:v>2028</x:v>
      </x:c>
      <x:c r="D9" t="n">
        <x:v>53</x:v>
      </x:c>
      <x:c r="E9" t="n">
        <x:v>5.973171499997989</x:v>
      </x:c>
      <x:c r="F9" t="n">
        <x:v>5</x:v>
      </x:c>
      <x:c r="G9" t="n">
        <x:v>10.353345599124468</x:v>
      </x:c>
      <x:c r="H9" t="n">
        <x:v>2029</x:v>
      </x:c>
      <x:c r="I9" t="n">
        <x:v>307</x:v>
      </x:c>
      <x:c r="J9" t="n">
        <x:v>1.14612599999964</x:v>
      </x:c>
      <x:c r="K9" t="n">
        <x:v>5</x:v>
      </x:c>
      <x:c r="L9" t="n">
        <x:v>8.075079292381163</x:v>
      </x:c>
      <x:c r="M9" t="n">
        <x:v>2026</x:v>
      </x:c>
      <x:c r="N9" t="n">
        <x:v>80</x:v>
      </x:c>
      <x:c r="O9" t="n">
        <x:v>0.07173319999856176</x:v>
      </x:c>
      <x:c r="P9" t="n">
        <x:v>1</x:v>
      </x:c>
      <x:c r="Q9" t="n">
        <x:v>6.094715374080513</x:v>
      </x:c>
      <x:c r="R9" t="n">
        <x:v>2029</x:v>
      </x:c>
      <x:c r="S9" t="n">
        <x:v>0</x:v>
      </x:c>
      <x:c r="T9" t="n">
        <x:v>0.0037884000012127217</x:v>
      </x:c>
      <x:c r="U9" t="n">
        <x:v>5</x:v>
      </x:c>
      <x:c r="V9" t="n">
        <x:v>3.173877878048409</x:v>
      </x:c>
      <x:c r="W9" t="n">
        <x:v>2026</x:v>
      </x:c>
      <x:c r="X9" t="n">
        <x:v>0</x:v>
      </x:c>
      <x:c r="Y9" t="n">
        <x:v>0.0006852000005892478</x:v>
      </x:c>
      <x:c r="Z9" t="n">
        <x:v>1</x:v>
      </x:c>
      <x:c r="AA9" t="n">
        <x:v>10.83454477400157</x:v>
      </x:c>
      <x:c r="AB9" t="n">
        <x:v>2027</x:v>
      </x:c>
      <x:c r="AC9" t="n">
        <x:v>330</x:v>
      </x:c>
      <x:c r="AD9" t="n">
        <x:v>30.502772600000753</x:v>
      </x:c>
      <x:c r="AE9" t="n">
        <x:v>5</x:v>
      </x:c>
    </x:row>
    <x:row r="10">
      <x:c r="A10" t="n">
        <x:v>8009</x:v>
      </x:c>
      <x:c r="B10" t="n">
        <x:v>9.220295007760162</x:v>
      </x:c>
      <x:c r="C10" t="n">
        <x:v>2029</x:v>
      </x:c>
      <x:c r="D10" t="n">
        <x:v>65</x:v>
      </x:c>
      <x:c r="E10" t="n">
        <x:v>8.130277599997498</x:v>
      </x:c>
      <x:c r="F10" t="n">
        <x:v>5</x:v>
      </x:c>
      <x:c r="G10" t="n">
        <x:v>10.040128105345016</x:v>
      </x:c>
      <x:c r="H10" t="n">
        <x:v>2027</x:v>
      </x:c>
      <x:c r="I10" t="n">
        <x:v>288</x:v>
      </x:c>
      <x:c r="J10" t="n">
        <x:v>1.3519422999997914</x:v>
      </x:c>
      <x:c r="K10" t="n">
        <x:v>5</x:v>
      </x:c>
      <x:c r="L10" t="n">
        <x:v>7.356989993141457</x:v>
      </x:c>
      <x:c r="M10" t="n">
        <x:v>2026</x:v>
      </x:c>
      <x:c r="N10" t="n">
        <x:v>134</x:v>
      </x:c>
      <x:c r="O10" t="n">
        <x:v>0.11219569999957457</x:v>
      </x:c>
      <x:c r="P10" t="n">
        <x:v>1</x:v>
      </x:c>
      <x:c r="Q10" t="n">
        <x:v>5.7459781752124695</x:v>
      </x:c>
      <x:c r="R10" t="n">
        <x:v>2027</x:v>
      </x:c>
      <x:c r="S10" t="n">
        <x:v>0</x:v>
      </x:c>
      <x:c r="T10" t="n">
        <x:v>0.0035846000027959235</x:v>
      </x:c>
      <x:c r="U10" t="n">
        <x:v>5</x:v>
      </x:c>
      <x:c r="V10" t="n">
        <x:v>2.74100116434817</x:v>
      </x:c>
      <x:c r="W10" t="n">
        <x:v>2026</x:v>
      </x:c>
      <x:c r="X10" t="n">
        <x:v>0</x:v>
      </x:c>
      <x:c r="Y10" t="n">
        <x:v>0.0006761000004189555</x:v>
      </x:c>
      <x:c r="Z10" t="n">
        <x:v>1</x:v>
      </x:c>
      <x:c r="AA10" t="n">
        <x:v>10.745833650383386</x:v>
      </x:c>
      <x:c r="AB10" t="n">
        <x:v>2028</x:v>
      </x:c>
      <x:c r="AC10" t="n">
        <x:v>225</x:v>
      </x:c>
      <x:c r="AD10" t="n">
        <x:v>29.03419700000086</x:v>
      </x:c>
      <x:c r="AE10" t="n">
        <x:v>5</x:v>
      </x:c>
    </x:row>
    <x:row r="11">
      <x:c r="A11" t="n">
        <x:v>8010</x:v>
      </x:c>
      <x:c r="B11" t="n">
        <x:v>8.511765131709067</x:v>
      </x:c>
      <x:c r="C11" t="n">
        <x:v>2026</x:v>
      </x:c>
      <x:c r="D11" t="n">
        <x:v>27</x:v>
      </x:c>
      <x:c r="E11" t="n">
        <x:v>6.6823503999949025</x:v>
      </x:c>
      <x:c r="F11" t="n">
        <x:v>5</x:v>
      </x:c>
      <x:c r="G11" t="n">
        <x:v>10.400031408270197</x:v>
      </x:c>
      <x:c r="H11" t="n">
        <x:v>2028</x:v>
      </x:c>
      <x:c r="I11" t="n">
        <x:v>399</x:v>
      </x:c>
      <x:c r="J11" t="n">
        <x:v>1.3040734999995038</x:v>
      </x:c>
      <x:c r="K11" t="n">
        <x:v>5</x:v>
      </x:c>
      <x:c r="L11" t="n">
        <x:v>7.525591242986816</x:v>
      </x:c>
      <x:c r="M11" t="n">
        <x:v>2026</x:v>
      </x:c>
      <x:c r="N11" t="n">
        <x:v>90</x:v>
      </x:c>
      <x:c r="O11" t="n">
        <x:v>0.12195670000073733</x:v>
      </x:c>
      <x:c r="P11" t="n">
        <x:v>1</x:v>
      </x:c>
      <x:c r="Q11" t="n">
        <x:v>6.012782631872352</x:v>
      </x:c>
      <x:c r="R11" t="n">
        <x:v>2028</x:v>
      </x:c>
      <x:c r="S11" t="n">
        <x:v>0</x:v>
      </x:c>
      <x:c r="T11" t="n">
        <x:v>0.003447899995080661</x:v>
      </x:c>
      <x:c r="U11" t="n">
        <x:v>5</x:v>
      </x:c>
      <x:c r="V11" t="n">
        <x:v>2.6640526902436594</x:v>
      </x:c>
      <x:c r="W11" t="n">
        <x:v>2026</x:v>
      </x:c>
      <x:c r="X11" t="n">
        <x:v>0</x:v>
      </x:c>
      <x:c r="Y11" t="n">
        <x:v>0.0017021000021486543</x:v>
      </x:c>
      <x:c r="Z11" t="n">
        <x:v>1</x:v>
      </x:c>
      <x:c r="AA11" t="n">
        <x:v>11.003499531616189</x:v>
      </x:c>
      <x:c r="AB11" t="n">
        <x:v>2030</x:v>
      </x:c>
      <x:c r="AC11" t="n">
        <x:v>417</x:v>
      </x:c>
      <x:c r="AD11" t="n">
        <x:v>30.56439820000014</x:v>
      </x:c>
      <x:c r="AE11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3.5" hidden="0" customWidth="1"/>
    <x:col min="3" max="3" width="9.380000114440918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1.380000114440918" hidden="0" customWidth="1"/>
  </x:cols>
  <x:sheetData>
    <x:row r="1">
      <x:c r="A1" s="5" t="str">
        <x:v>parameter_name</x:v>
      </x:c>
      <x:c r="B1" s="5" t="str">
        <x:v>parameter_value</x:v>
      </x:c>
      <x:c r="C1" s="5" t="str">
        <x:v>scene_seed</x:v>
      </x:c>
      <x:c r="D1" s="5" t="str">
        <x:v>b1_wsr</x:v>
      </x:c>
      <x:c r="E1" s="5" t="str">
        <x:v>b2_wsr</x:v>
      </x:c>
      <x:c r="F1" s="5" t="str">
        <x:v>b3_wsr</x:v>
      </x:c>
      <x:c r="G1" s="5" t="str">
        <x:v>b4_wsr</x:v>
      </x:c>
      <x:c r="H1" s="5" t="str">
        <x:v>b5_wsr</x:v>
      </x:c>
      <x:c r="I1" s="5" t="str">
        <x:v>proposed_wsr</x:v>
      </x:c>
    </x:row>
    <x:row r="2">
      <x:c r="A2" t="str">
        <x:v>rho_si</x:v>
      </x:c>
      <x:c r="B2" t="n">
        <x:v>1e-8</x:v>
      </x:c>
      <x:c r="C2" t="n">
        <x:v>8001</x:v>
      </x:c>
      <x:c r="D2" t="n">
        <x:v>8.43429716740991</x:v>
      </x:c>
      <x:c r="E2" t="n">
        <x:v>10.59041912411183</x:v>
      </x:c>
      <x:c r="F2" t="n">
        <x:v>7.829040627776086</x:v>
      </x:c>
      <x:c r="G2" t="n">
        <x:v>6.470819119007356</x:v>
      </x:c>
      <x:c r="H2" t="n">
        <x:v>3.064073629210867</x:v>
      </x:c>
      <x:c r="I2" t="n">
        <x:v>11.001612568664072</x:v>
      </x:c>
    </x:row>
    <x:row r="3">
      <x:c r="A3" t="str">
        <x:v>rho_si</x:v>
      </x:c>
      <x:c r="B3" t="n">
        <x:v>1e-8</x:v>
      </x:c>
      <x:c r="C3" t="n">
        <x:v>8002</x:v>
      </x:c>
      <x:c r="D3" t="n">
        <x:v>8.45971634215669</x:v>
      </x:c>
      <x:c r="E3" t="n">
        <x:v>10.314807399880067</x:v>
      </x:c>
      <x:c r="F3" t="n">
        <x:v>7.8477476482958</x:v>
      </x:c>
      <x:c r="G3" t="n">
        <x:v>5.901375616825838</x:v>
      </x:c>
      <x:c r="H3" t="n">
        <x:v>2.8296714238311704</x:v>
      </x:c>
      <x:c r="I3" t="n">
        <x:v>10.859006836214562</x:v>
      </x:c>
    </x:row>
    <x:row r="4">
      <x:c r="A4" t="str">
        <x:v>rho_si</x:v>
      </x:c>
      <x:c r="B4" t="n">
        <x:v>1e-8</x:v>
      </x:c>
      <x:c r="C4" t="n">
        <x:v>8003</x:v>
      </x:c>
      <x:c r="D4" t="n">
        <x:v>8.224625151639021</x:v>
      </x:c>
      <x:c r="E4" t="n">
        <x:v>10.543928866130575</x:v>
      </x:c>
      <x:c r="F4" t="n">
        <x:v>7.756684293644977</x:v>
      </x:c>
      <x:c r="G4" t="n">
        <x:v>6.082949773946507</x:v>
      </x:c>
      <x:c r="H4" t="n">
        <x:v>2.9124599865246585</x:v>
      </x:c>
      <x:c r="I4" t="n">
        <x:v>11.012617056214117</x:v>
      </x:c>
    </x:row>
    <x:row r="5">
      <x:c r="A5" t="str">
        <x:v>rho_si</x:v>
      </x:c>
      <x:c r="B5" t="n">
        <x:v>1e-8</x:v>
      </x:c>
      <x:c r="C5" t="n">
        <x:v>8004</x:v>
      </x:c>
      <x:c r="D5" t="n">
        <x:v>9.110881043093562</x:v>
      </x:c>
      <x:c r="E5" t="n">
        <x:v>10.372249677914883</x:v>
      </x:c>
      <x:c r="F5" t="n">
        <x:v>7.992382912026051</x:v>
      </x:c>
      <x:c r="G5" t="n">
        <x:v>5.629510711258833</x:v>
      </x:c>
      <x:c r="H5" t="n">
        <x:v>3.1438241936376388</x:v>
      </x:c>
      <x:c r="I5" t="n">
        <x:v>10.966976979653285</x:v>
      </x:c>
    </x:row>
    <x:row r="6">
      <x:c r="A6" t="str">
        <x:v>rho_si</x:v>
      </x:c>
      <x:c r="B6" t="n">
        <x:v>1e-8</x:v>
      </x:c>
      <x:c r="C6" t="n">
        <x:v>8005</x:v>
      </x:c>
      <x:c r="D6" t="n">
        <x:v>7.813596498598386</x:v>
      </x:c>
      <x:c r="E6" t="n">
        <x:v>9.620565006012761</x:v>
      </x:c>
      <x:c r="F6" t="n">
        <x:v>7.939976731540365</x:v>
      </x:c>
      <x:c r="G6" t="n">
        <x:v>4.925853530907535</x:v>
      </x:c>
      <x:c r="H6" t="n">
        <x:v>3.0868306419144025</x:v>
      </x:c>
      <x:c r="I6" t="n">
        <x:v>10.740321753695746</x:v>
      </x:c>
    </x:row>
    <x:row r="7">
      <x:c r="A7" t="str">
        <x:v>rho_si</x:v>
      </x:c>
      <x:c r="B7" t="n">
        <x:v>1e-8</x:v>
      </x:c>
      <x:c r="C7" t="n">
        <x:v>8006</x:v>
      </x:c>
      <x:c r="D7" t="n">
        <x:v>8.519280669503921</x:v>
      </x:c>
      <x:c r="E7" t="n">
        <x:v>10.403253420511806</x:v>
      </x:c>
      <x:c r="F7" t="n">
        <x:v>8.492090915038984</x:v>
      </x:c>
      <x:c r="G7" t="n">
        <x:v>6.095676624859248</x:v>
      </x:c>
      <x:c r="H7" t="n">
        <x:v>3.631450939919371</x:v>
      </x:c>
      <x:c r="I7" t="n">
        <x:v>10.940387534959488</x:v>
      </x:c>
    </x:row>
    <x:row r="8">
      <x:c r="A8" t="str">
        <x:v>rho_si</x:v>
      </x:c>
      <x:c r="B8" t="n">
        <x:v>1e-8</x:v>
      </x:c>
      <x:c r="C8" t="n">
        <x:v>8007</x:v>
      </x:c>
      <x:c r="D8" t="n">
        <x:v>8.10577948524617</x:v>
      </x:c>
      <x:c r="E8" t="n">
        <x:v>10.43980752618208</x:v>
      </x:c>
      <x:c r="F8" t="n">
        <x:v>7.6571150641465575</x:v>
      </x:c>
      <x:c r="G8" t="n">
        <x:v>6.4734569220908895</x:v>
      </x:c>
      <x:c r="H8" t="n">
        <x:v>2.7488065574964424</x:v>
      </x:c>
      <x:c r="I8" t="n">
        <x:v>11.067623029300515</x:v>
      </x:c>
    </x:row>
    <x:row r="9">
      <x:c r="A9" t="str">
        <x:v>rho_si</x:v>
      </x:c>
      <x:c r="B9" t="n">
        <x:v>1e-8</x:v>
      </x:c>
      <x:c r="C9" t="n">
        <x:v>8008</x:v>
      </x:c>
      <x:c r="D9" t="n">
        <x:v>9.514805323193157</x:v>
      </x:c>
      <x:c r="E9" t="n">
        <x:v>10.353345599124468</x:v>
      </x:c>
      <x:c r="F9" t="n">
        <x:v>8.075079292381163</x:v>
      </x:c>
      <x:c r="G9" t="n">
        <x:v>6.094715374080513</x:v>
      </x:c>
      <x:c r="H9" t="n">
        <x:v>3.173877878048409</x:v>
      </x:c>
      <x:c r="I9" t="n">
        <x:v>10.83454477400157</x:v>
      </x:c>
    </x:row>
    <x:row r="10">
      <x:c r="A10" t="str">
        <x:v>rho_si</x:v>
      </x:c>
      <x:c r="B10" t="n">
        <x:v>1e-8</x:v>
      </x:c>
      <x:c r="C10" t="n">
        <x:v>8009</x:v>
      </x:c>
      <x:c r="D10" t="n">
        <x:v>9.220295007760162</x:v>
      </x:c>
      <x:c r="E10" t="n">
        <x:v>10.040128105345016</x:v>
      </x:c>
      <x:c r="F10" t="n">
        <x:v>7.356989993141457</x:v>
      </x:c>
      <x:c r="G10" t="n">
        <x:v>5.7459781752124695</x:v>
      </x:c>
      <x:c r="H10" t="n">
        <x:v>2.74100116434817</x:v>
      </x:c>
      <x:c r="I10" t="n">
        <x:v>10.745833650383386</x:v>
      </x:c>
    </x:row>
    <x:row r="11">
      <x:c r="A11" t="str">
        <x:v>rho_si</x:v>
      </x:c>
      <x:c r="B11" t="n">
        <x:v>1e-8</x:v>
      </x:c>
      <x:c r="C11" t="n">
        <x:v>8010</x:v>
      </x:c>
      <x:c r="D11" t="n">
        <x:v>8.511765131709067</x:v>
      </x:c>
      <x:c r="E11" t="n">
        <x:v>10.400031408270197</x:v>
      </x:c>
      <x:c r="F11" t="n">
        <x:v>7.525591242986816</x:v>
      </x:c>
      <x:c r="G11" t="n">
        <x:v>6.012782631872352</x:v>
      </x:c>
      <x:c r="H11" t="n">
        <x:v>2.6640526902436594</x:v>
      </x:c>
      <x:c r="I11" t="n">
        <x:v>11.003499531616189</x:v>
      </x:c>
    </x:row>
    <x:row r="12">
      <x:c r="A12" t="str">
        <x:v>rho_si</x:v>
      </x:c>
      <x:c r="B12" t="n">
        <x:v>1e-7</x:v>
      </x:c>
      <x:c r="C12" t="n">
        <x:v>8001</x:v>
      </x:c>
      <x:c r="D12" t="n">
        <x:v>8.99371452284968</x:v>
      </x:c>
      <x:c r="E12" t="n">
        <x:v>10.590921088649804</x:v>
      </x:c>
      <x:c r="F12" t="n">
        <x:v>7.827586535673014</x:v>
      </x:c>
      <x:c r="G12" t="n">
        <x:v>6.471486134162623</x:v>
      </x:c>
      <x:c r="H12" t="n">
        <x:v>3.058492481937386</x:v>
      </x:c>
      <x:c r="I12" t="n">
        <x:v>10.999666004207445</x:v>
      </x:c>
    </x:row>
    <x:row r="13">
      <x:c r="A13" t="str">
        <x:v>rho_si</x:v>
      </x:c>
      <x:c r="B13" t="n">
        <x:v>1e-7</x:v>
      </x:c>
      <x:c r="C13" t="n">
        <x:v>8002</x:v>
      </x:c>
      <x:c r="D13" t="n">
        <x:v>8.637531123687216</x:v>
      </x:c>
      <x:c r="E13" t="n">
        <x:v>10.314919038463929</x:v>
      </x:c>
      <x:c r="F13" t="n">
        <x:v>7.848293736767692</x:v>
      </x:c>
      <x:c r="G13" t="n">
        <x:v>5.900730933673012</x:v>
      </x:c>
      <x:c r="H13" t="n">
        <x:v>2.8303170092972594</x:v>
      </x:c>
      <x:c r="I13" t="n">
        <x:v>10.858888968641732</x:v>
      </x:c>
    </x:row>
    <x:row r="14">
      <x:c r="A14" t="str">
        <x:v>rho_si</x:v>
      </x:c>
      <x:c r="B14" t="n">
        <x:v>1e-7</x:v>
      </x:c>
      <x:c r="C14" t="n">
        <x:v>8003</x:v>
      </x:c>
      <x:c r="D14" t="n">
        <x:v>8.29208753019078</x:v>
      </x:c>
      <x:c r="E14" t="n">
        <x:v>10.543279319750074</x:v>
      </x:c>
      <x:c r="F14" t="n">
        <x:v>7.758742474705944</x:v>
      </x:c>
      <x:c r="G14" t="n">
        <x:v>6.081782935213002</x:v>
      </x:c>
      <x:c r="H14" t="n">
        <x:v>2.916548617034117</x:v>
      </x:c>
      <x:c r="I14" t="n">
        <x:v>11.016269986175924</x:v>
      </x:c>
    </x:row>
    <x:row r="15">
      <x:c r="A15" t="str">
        <x:v>rho_si</x:v>
      </x:c>
      <x:c r="B15" t="n">
        <x:v>1e-7</x:v>
      </x:c>
      <x:c r="C15" t="n">
        <x:v>8004</x:v>
      </x:c>
      <x:c r="D15" t="n">
        <x:v>8.463897260423476</x:v>
      </x:c>
      <x:c r="E15" t="n">
        <x:v>10.365669836612618</x:v>
      </x:c>
      <x:c r="F15" t="n">
        <x:v>7.9934607818173475</x:v>
      </x:c>
      <x:c r="G15" t="n">
        <x:v>5.630432686115439</x:v>
      </x:c>
      <x:c r="H15" t="n">
        <x:v>3.1470926801423813</x:v>
      </x:c>
      <x:c r="I15" t="n">
        <x:v>10.966676288682352</x:v>
      </x:c>
    </x:row>
    <x:row r="16">
      <x:c r="A16" t="str">
        <x:v>rho_si</x:v>
      </x:c>
      <x:c r="B16" t="n">
        <x:v>1e-7</x:v>
      </x:c>
      <x:c r="C16" t="n">
        <x:v>8005</x:v>
      </x:c>
      <x:c r="D16" t="n">
        <x:v>8.732628750058526</x:v>
      </x:c>
      <x:c r="E16" t="n">
        <x:v>9.620746461761774</x:v>
      </x:c>
      <x:c r="F16" t="n">
        <x:v>7.937452118689548</x:v>
      </x:c>
      <x:c r="G16" t="n">
        <x:v>4.924534288111755</x:v>
      </x:c>
      <x:c r="H16" t="n">
        <x:v>3.0846315042408374</x:v>
      </x:c>
      <x:c r="I16" t="n">
        <x:v>10.740787532533634</x:v>
      </x:c>
    </x:row>
    <x:row r="17">
      <x:c r="A17" t="str">
        <x:v>rho_si</x:v>
      </x:c>
      <x:c r="B17" t="n">
        <x:v>1e-7</x:v>
      </x:c>
      <x:c r="C17" t="n">
        <x:v>8006</x:v>
      </x:c>
      <x:c r="D17" t="n">
        <x:v>8.70773554910346</x:v>
      </x:c>
      <x:c r="E17" t="n">
        <x:v>10.402785294122332</x:v>
      </x:c>
      <x:c r="F17" t="n">
        <x:v>8.492156968746668</x:v>
      </x:c>
      <x:c r="G17" t="n">
        <x:v>6.094984658204921</x:v>
      </x:c>
      <x:c r="H17" t="n">
        <x:v>3.629577911645205</x:v>
      </x:c>
      <x:c r="I17" t="n">
        <x:v>10.941625594931786</x:v>
      </x:c>
    </x:row>
    <x:row r="18">
      <x:c r="A18" t="str">
        <x:v>rho_si</x:v>
      </x:c>
      <x:c r="B18" t="n">
        <x:v>1e-7</x:v>
      </x:c>
      <x:c r="C18" t="n">
        <x:v>8007</x:v>
      </x:c>
      <x:c r="D18" t="n">
        <x:v>8.781149152036456</x:v>
      </x:c>
      <x:c r="E18" t="n">
        <x:v>10.438574238089238</x:v>
      </x:c>
      <x:c r="F18" t="n">
        <x:v>7.655401818339615</x:v>
      </x:c>
      <x:c r="G18" t="n">
        <x:v>6.471996706735438</x:v>
      </x:c>
      <x:c r="H18" t="n">
        <x:v>2.747144368956383</x:v>
      </x:c>
      <x:c r="I18" t="n">
        <x:v>11.066953532079577</x:v>
      </x:c>
    </x:row>
    <x:row r="19">
      <x:c r="A19" t="str">
        <x:v>rho_si</x:v>
      </x:c>
      <x:c r="B19" t="n">
        <x:v>1e-7</x:v>
      </x:c>
      <x:c r="C19" t="n">
        <x:v>8008</x:v>
      </x:c>
      <x:c r="D19" t="n">
        <x:v>8.105424968070452</x:v>
      </x:c>
      <x:c r="E19" t="n">
        <x:v>10.353970023919146</x:v>
      </x:c>
      <x:c r="F19" t="n">
        <x:v>8.070184296147954</x:v>
      </x:c>
      <x:c r="G19" t="n">
        <x:v>6.093908995013495</x:v>
      </x:c>
      <x:c r="H19" t="n">
        <x:v>3.1667043980025413</x:v>
      </x:c>
      <x:c r="I19" t="n">
        <x:v>10.835270484202567</x:v>
      </x:c>
    </x:row>
    <x:row r="20">
      <x:c r="A20" t="str">
        <x:v>rho_si</x:v>
      </x:c>
      <x:c r="B20" t="n">
        <x:v>1e-7</x:v>
      </x:c>
      <x:c r="C20" t="n">
        <x:v>8009</x:v>
      </x:c>
      <x:c r="D20" t="n">
        <x:v>8.770249041312193</x:v>
      </x:c>
      <x:c r="E20" t="n">
        <x:v>10.039539296878104</x:v>
      </x:c>
      <x:c r="F20" t="n">
        <x:v>7.356856069650956</x:v>
      </x:c>
      <x:c r="G20" t="n">
        <x:v>5.746230440769192</x:v>
      </x:c>
      <x:c r="H20" t="n">
        <x:v>2.7421941153589375</x:v>
      </x:c>
      <x:c r="I20" t="n">
        <x:v>10.746076666149243</x:v>
      </x:c>
    </x:row>
    <x:row r="21">
      <x:c r="A21" t="str">
        <x:v>rho_si</x:v>
      </x:c>
      <x:c r="B21" t="n">
        <x:v>1e-7</x:v>
      </x:c>
      <x:c r="C21" t="n">
        <x:v>8010</x:v>
      </x:c>
      <x:c r="D21" t="n">
        <x:v>9.594745816236502</x:v>
      </x:c>
      <x:c r="E21" t="n">
        <x:v>10.398887504774997</x:v>
      </x:c>
      <x:c r="F21" t="n">
        <x:v>7.5240022462098075</x:v>
      </x:c>
      <x:c r="G21" t="n">
        <x:v>6.012309887271005</x:v>
      </x:c>
      <x:c r="H21" t="n">
        <x:v>2.662246654245879</x:v>
      </x:c>
      <x:c r="I21" t="n">
        <x:v>11.003430250703605</x:v>
      </x:c>
    </x:row>
    <x:row r="22">
      <x:c r="A22" t="str">
        <x:v>rho_si</x:v>
      </x:c>
      <x:c r="B22" t="n">
        <x:v>0.000001</x:v>
      </x:c>
      <x:c r="C22" t="n">
        <x:v>8001</x:v>
      </x:c>
      <x:c r="D22" t="n">
        <x:v>9.111606858965933</x:v>
      </x:c>
      <x:c r="E22" t="n">
        <x:v>10.593224064571672</x:v>
      </x:c>
      <x:c r="F22" t="n">
        <x:v>7.822088032113498</x:v>
      </x:c>
      <x:c r="G22" t="n">
        <x:v>6.471536783244861</x:v>
      </x:c>
      <x:c r="H22" t="n">
        <x:v>3.039721181256181</x:v>
      </x:c>
      <x:c r="I22" t="n">
        <x:v>10.999410450381</x:v>
      </x:c>
    </x:row>
    <x:row r="23">
      <x:c r="A23" t="str">
        <x:v>rho_si</x:v>
      </x:c>
      <x:c r="B23" t="n">
        <x:v>0.000001</x:v>
      </x:c>
      <x:c r="C23" t="n">
        <x:v>8002</x:v>
      </x:c>
      <x:c r="D23" t="n">
        <x:v>8.801495401573604</x:v>
      </x:c>
      <x:c r="E23" t="n">
        <x:v>10.315532387496798</x:v>
      </x:c>
      <x:c r="F23" t="n">
        <x:v>7.849113356077044</x:v>
      </x:c>
      <x:c r="G23" t="n">
        <x:v>5.897130396281725</x:v>
      </x:c>
      <x:c r="H23" t="n">
        <x:v>2.8307931193349782</x:v>
      </x:c>
      <x:c r="I23" t="n">
        <x:v>10.859923558100096</x:v>
      </x:c>
    </x:row>
    <x:row r="24">
      <x:c r="A24" t="str">
        <x:v>rho_si</x:v>
      </x:c>
      <x:c r="B24" t="n">
        <x:v>0.000001</x:v>
      </x:c>
      <x:c r="C24" t="n">
        <x:v>8003</x:v>
      </x:c>
      <x:c r="D24" t="n">
        <x:v>8.795431697985777</x:v>
      </x:c>
      <x:c r="E24" t="n">
        <x:v>10.54531120257052</x:v>
      </x:c>
      <x:c r="F24" t="n">
        <x:v>7.763897656508868</x:v>
      </x:c>
      <x:c r="G24" t="n">
        <x:v>6.07701072105397</x:v>
      </x:c>
      <x:c r="H24" t="n">
        <x:v>2.9264303905714053</x:v>
      </x:c>
      <x:c r="I24" t="n">
        <x:v>11.03810125070892</x:v>
      </x:c>
    </x:row>
    <x:row r="25">
      <x:c r="A25" t="str">
        <x:v>rho_si</x:v>
      </x:c>
      <x:c r="B25" t="n">
        <x:v>0.000001</x:v>
      </x:c>
      <x:c r="C25" t="n">
        <x:v>8004</x:v>
      </x:c>
      <x:c r="D25" t="n">
        <x:v>8.822288642489765</x:v>
      </x:c>
      <x:c r="E25" t="n">
        <x:v>10.346044643075384</x:v>
      </x:c>
      <x:c r="F25" t="n">
        <x:v>7.9952921262585</x:v>
      </x:c>
      <x:c r="G25" t="n">
        <x:v>5.629947575882522</x:v>
      </x:c>
      <x:c r="H25" t="n">
        <x:v>3.1529648100038843</x:v>
      </x:c>
      <x:c r="I25" t="n">
        <x:v>10.96348193972554</x:v>
      </x:c>
    </x:row>
    <x:row r="26">
      <x:c r="A26" t="str">
        <x:v>rho_si</x:v>
      </x:c>
      <x:c r="B26" t="n">
        <x:v>0.000001</x:v>
      </x:c>
      <x:c r="C26" t="n">
        <x:v>8005</x:v>
      </x:c>
      <x:c r="D26" t="n">
        <x:v>8.864116247358975</x:v>
      </x:c>
      <x:c r="E26" t="n">
        <x:v>9.62221917251602</x:v>
      </x:c>
      <x:c r="F26" t="n">
        <x:v>7.929458602454065</x:v>
      </x:c>
      <x:c r="G26" t="n">
        <x:v>4.91913665358301</x:v>
      </x:c>
      <x:c r="H26" t="n">
        <x:v>3.0774033075881913</x:v>
      </x:c>
      <x:c r="I26" t="n">
        <x:v>10.744170405826553</x:v>
      </x:c>
    </x:row>
    <x:row r="27">
      <x:c r="A27" t="str">
        <x:v>rho_si</x:v>
      </x:c>
      <x:c r="B27" t="n">
        <x:v>0.000001</x:v>
      </x:c>
      <x:c r="C27" t="n">
        <x:v>8006</x:v>
      </x:c>
      <x:c r="D27" t="n">
        <x:v>9.662869602790371</x:v>
      </x:c>
      <x:c r="E27" t="n">
        <x:v>10.400798014805686</x:v>
      </x:c>
      <x:c r="F27" t="n">
        <x:v>8.491963870797342</x:v>
      </x:c>
      <x:c r="G27" t="n">
        <x:v>6.0910989208948845</x:v>
      </x:c>
      <x:c r="H27" t="n">
        <x:v>3.622036202141691</x:v>
      </x:c>
      <x:c r="I27" t="n">
        <x:v>10.942810370082896</x:v>
      </x:c>
    </x:row>
    <x:row r="28">
      <x:c r="A28" t="str">
        <x:v>rho_si</x:v>
      </x:c>
      <x:c r="B28" t="n">
        <x:v>0.000001</x:v>
      </x:c>
      <x:c r="C28" t="n">
        <x:v>8007</x:v>
      </x:c>
      <x:c r="D28" t="n">
        <x:v>7.9667790853228535</x:v>
      </x:c>
      <x:c r="E28" t="n">
        <x:v>10.434270455097629</x:v>
      </x:c>
      <x:c r="F28" t="n">
        <x:v>7.647530420519346</x:v>
      </x:c>
      <x:c r="G28" t="n">
        <x:v>6.4655208797604224</x:v>
      </x:c>
      <x:c r="H28" t="n">
        <x:v>2.7385779160618675</x:v>
      </x:c>
      <x:c r="I28" t="n">
        <x:v>11.062216862432331</x:v>
      </x:c>
    </x:row>
    <x:row r="29">
      <x:c r="A29" t="str">
        <x:v>rho_si</x:v>
      </x:c>
      <x:c r="B29" t="n">
        <x:v>0.000001</x:v>
      </x:c>
      <x:c r="C29" t="n">
        <x:v>8008</x:v>
      </x:c>
      <x:c r="D29" t="n">
        <x:v>8.570681089135359</x:v>
      </x:c>
      <x:c r="E29" t="n">
        <x:v>10.354016891241342</x:v>
      </x:c>
      <x:c r="F29" t="n">
        <x:v>8.05391649298249</x:v>
      </x:c>
      <x:c r="G29" t="n">
        <x:v>6.089639174644693</x:v>
      </x:c>
      <x:c r="H29" t="n">
        <x:v>3.143528744203499</x:v>
      </x:c>
      <x:c r="I29" t="n">
        <x:v>10.838488654887446</x:v>
      </x:c>
    </x:row>
    <x:row r="30">
      <x:c r="A30" t="str">
        <x:v>rho_si</x:v>
      </x:c>
      <x:c r="B30" t="n">
        <x:v>0.000001</x:v>
      </x:c>
      <x:c r="C30" t="n">
        <x:v>8009</x:v>
      </x:c>
      <x:c r="D30" t="n">
        <x:v>8.335438175414428</x:v>
      </x:c>
      <x:c r="E30" t="n">
        <x:v>10.041627312034425</x:v>
      </x:c>
      <x:c r="F30" t="n">
        <x:v>7.358499035580063</x:v>
      </x:c>
      <x:c r="G30" t="n">
        <x:v>5.7449559651636</x:v>
      </x:c>
      <x:c r="H30" t="n">
        <x:v>2.743124917582012</x:v>
      </x:c>
      <x:c r="I30" t="n">
        <x:v>10.74748992011176</x:v>
      </x:c>
    </x:row>
    <x:row r="31">
      <x:c r="A31" t="str">
        <x:v>rho_si</x:v>
      </x:c>
      <x:c r="B31" t="n">
        <x:v>0.000001</x:v>
      </x:c>
      <x:c r="C31" t="n">
        <x:v>8010</x:v>
      </x:c>
      <x:c r="D31" t="n">
        <x:v>8.86411959382928</x:v>
      </x:c>
      <x:c r="E31" t="n">
        <x:v>10.394798711045157</x:v>
      </x:c>
      <x:c r="F31" t="n">
        <x:v>7.517710608176664</x:v>
      </x:c>
      <x:c r="G31" t="n">
        <x:v>6.009234732859124</x:v>
      </x:c>
      <x:c r="H31" t="n">
        <x:v>2.6543982886885047</x:v>
      </x:c>
      <x:c r="I31" t="n">
        <x:v>11.000278477689127</x:v>
      </x:c>
    </x:row>
    <x:row r="32">
      <x:c r="A32" t="str">
        <x:v>rho_si</x:v>
      </x:c>
      <x:c r="B32" t="n">
        <x:v>0.00001</x:v>
      </x:c>
      <x:c r="C32" t="n">
        <x:v>8001</x:v>
      </x:c>
      <x:c r="D32" t="n">
        <x:v>8.450874236003033</x:v>
      </x:c>
      <x:c r="E32" t="n">
        <x:v>10.6241465303968</x:v>
      </x:c>
      <x:c r="F32" t="n">
        <x:v>7.796378652166198</x:v>
      </x:c>
      <x:c r="G32" t="n">
        <x:v>6.452317888765993</x:v>
      </x:c>
      <x:c r="H32" t="n">
        <x:v>2.9725024819516053</x:v>
      </x:c>
      <x:c r="I32" t="n">
        <x:v>11.009379838615574</x:v>
      </x:c>
    </x:row>
    <x:row r="33">
      <x:c r="A33" t="str">
        <x:v>rho_si</x:v>
      </x:c>
      <x:c r="B33" t="n">
        <x:v>0.00001</x:v>
      </x:c>
      <x:c r="C33" t="n">
        <x:v>8002</x:v>
      </x:c>
      <x:c r="D33" t="n">
        <x:v>8.404470519272763</x:v>
      </x:c>
      <x:c r="E33" t="n">
        <x:v>10.312561864985817</x:v>
      </x:c>
      <x:c r="F33" t="n">
        <x:v>7.843298372845788</x:v>
      </x:c>
      <x:c r="G33" t="n">
        <x:v>5.870605922211961</x:v>
      </x:c>
      <x:c r="H33" t="n">
        <x:v>2.8169855074688166</x:v>
      </x:c>
      <x:c r="I33" t="n">
        <x:v>10.864088629100108</x:v>
      </x:c>
    </x:row>
    <x:row r="34">
      <x:c r="A34" t="str">
        <x:v>rho_si</x:v>
      </x:c>
      <x:c r="B34" t="n">
        <x:v>0.00001</x:v>
      </x:c>
      <x:c r="C34" t="n">
        <x:v>8003</x:v>
      </x:c>
      <x:c r="D34" t="n">
        <x:v>8.434456492687966</x:v>
      </x:c>
      <x:c r="E34" t="n">
        <x:v>10.573809200035043</x:v>
      </x:c>
      <x:c r="F34" t="n">
        <x:v>7.767010495890713</x:v>
      </x:c>
      <x:c r="G34" t="n">
        <x:v>6.051529685422609</x:v>
      </x:c>
      <x:c r="H34" t="n">
        <x:v>2.9218342542488847</x:v>
      </x:c>
      <x:c r="I34" t="n">
        <x:v>11.07240552910292</x:v>
      </x:c>
    </x:row>
    <x:row r="35">
      <x:c r="A35" t="str">
        <x:v>rho_si</x:v>
      </x:c>
      <x:c r="B35" t="n">
        <x:v>0.00001</x:v>
      </x:c>
      <x:c r="C35" t="n">
        <x:v>8004</x:v>
      </x:c>
      <x:c r="D35" t="n">
        <x:v>8.29795338757678</x:v>
      </x:c>
      <x:c r="E35" t="n">
        <x:v>10.283378676539554</x:v>
      </x:c>
      <x:c r="F35" t="n">
        <x:v>7.985582677741561</x:v>
      </x:c>
      <x:c r="G35" t="n">
        <x:v>5.596575323880702</x:v>
      </x:c>
      <x:c r="H35" t="n">
        <x:v>3.1246353592727747</x:v>
      </x:c>
      <x:c r="I35" t="n">
        <x:v>10.96695908060569</x:v>
      </x:c>
    </x:row>
    <x:row r="36">
      <x:c r="A36" t="str">
        <x:v>rho_si</x:v>
      </x:c>
      <x:c r="B36" t="n">
        <x:v>0.00001</x:v>
      </x:c>
      <x:c r="C36" t="n">
        <x:v>8005</x:v>
      </x:c>
      <x:c r="D36" t="n">
        <x:v>9.203069903827332</x:v>
      </x:c>
      <x:c r="E36" t="n">
        <x:v>10.077853332311102</x:v>
      </x:c>
      <x:c r="F36" t="n">
        <x:v>7.903866720240448</x:v>
      </x:c>
      <x:c r="G36" t="n">
        <x:v>4.89017591511575</x:v>
      </x:c>
      <x:c r="H36" t="n">
        <x:v>3.051926266555732</x:v>
      </x:c>
      <x:c r="I36" t="n">
        <x:v>10.74669034227376</x:v>
      </x:c>
    </x:row>
    <x:row r="37">
      <x:c r="A37" t="str">
        <x:v>rho_si</x:v>
      </x:c>
      <x:c r="B37" t="n">
        <x:v>0.00001</x:v>
      </x:c>
      <x:c r="C37" t="n">
        <x:v>8006</x:v>
      </x:c>
      <x:c r="D37" t="n">
        <x:v>8.299812212471142</x:v>
      </x:c>
      <x:c r="E37" t="n">
        <x:v>10.39904580141156</x:v>
      </x:c>
      <x:c r="F37" t="n">
        <x:v>8.486472375421245</x:v>
      </x:c>
      <x:c r="G37" t="n">
        <x:v>6.062332400301132</x:v>
      </x:c>
      <x:c r="H37" t="n">
        <x:v>3.584462599634351</x:v>
      </x:c>
      <x:c r="I37" t="n">
        <x:v>10.946777287367683</x:v>
      </x:c>
    </x:row>
    <x:row r="38">
      <x:c r="A38" t="str">
        <x:v>rho_si</x:v>
      </x:c>
      <x:c r="B38" t="n">
        <x:v>0.00001</x:v>
      </x:c>
      <x:c r="C38" t="n">
        <x:v>8007</x:v>
      </x:c>
      <x:c r="D38" t="n">
        <x:v>8.660879551239862</x:v>
      </x:c>
      <x:c r="E38" t="n">
        <x:v>10.410061075685958</x:v>
      </x:c>
      <x:c r="F38" t="n">
        <x:v>7.6004823849614525</x:v>
      </x:c>
      <x:c r="G38" t="n">
        <x:v>6.427298011954798</x:v>
      </x:c>
      <x:c r="H38" t="n">
        <x:v>2.6820195321726352</x:v>
      </x:c>
      <x:c r="I38" t="n">
        <x:v>11.048497208330554</x:v>
      </x:c>
    </x:row>
    <x:row r="39">
      <x:c r="A39" t="str">
        <x:v>rho_si</x:v>
      </x:c>
      <x:c r="B39" t="n">
        <x:v>0.00001</x:v>
      </x:c>
      <x:c r="C39" t="n">
        <x:v>8008</x:v>
      </x:c>
      <x:c r="D39" t="n">
        <x:v>7.794486905977822</x:v>
      </x:c>
      <x:c r="E39" t="n">
        <x:v>10.358040616280517</x:v>
      </x:c>
      <x:c r="F39" t="n">
        <x:v>7.9972149120042495</x:v>
      </x:c>
      <x:c r="G39" t="n">
        <x:v>6.059481301823789</x:v>
      </x:c>
      <x:c r="H39" t="n">
        <x:v>3.0673660377407517</x:v>
      </x:c>
      <x:c r="I39" t="n">
        <x:v>10.854856270172306</x:v>
      </x:c>
    </x:row>
    <x:row r="40">
      <x:c r="A40" t="str">
        <x:v>rho_si</x:v>
      </x:c>
      <x:c r="B40" t="n">
        <x:v>0.00001</x:v>
      </x:c>
      <x:c r="C40" t="n">
        <x:v>8009</x:v>
      </x:c>
      <x:c r="D40" t="n">
        <x:v>9.384053261784006</x:v>
      </x:c>
      <x:c r="E40" t="n">
        <x:v>10.054398257587767</x:v>
      </x:c>
      <x:c r="F40" t="n">
        <x:v>7.37623499238264</x:v>
      </x:c>
      <x:c r="G40" t="n">
        <x:v>5.720716835706017</x:v>
      </x:c>
      <x:c r="H40" t="n">
        <x:v>2.7188938061931562</x:v>
      </x:c>
      <x:c r="I40" t="n">
        <x:v>10.749554967867162</x:v>
      </x:c>
    </x:row>
    <x:row r="41">
      <x:c r="A41" t="str">
        <x:v>rho_si</x:v>
      </x:c>
      <x:c r="B41" t="n">
        <x:v>0.00001</x:v>
      </x:c>
      <x:c r="C41" t="n">
        <x:v>8010</x:v>
      </x:c>
      <x:c r="D41" t="n">
        <x:v>8.008686933499384</x:v>
      </x:c>
      <x:c r="E41" t="n">
        <x:v>10.376200963462681</x:v>
      </x:c>
      <x:c r="F41" t="n">
        <x:v>7.4856157435504445</x:v>
      </x:c>
      <x:c r="G41" t="n">
        <x:v>5.98425447883439</x:v>
      </x:c>
      <x:c r="H41" t="n">
        <x:v>2.6109846118061313</x:v>
      </x:c>
      <x:c r="I41" t="n">
        <x:v>10.97528444898872</x:v>
      </x:c>
    </x:row>
    <x:row r="42">
      <x:c r="A42" t="str">
        <x:v>rho_si</x:v>
      </x:c>
      <x:c r="B42" t="n">
        <x:v>0.0001</x:v>
      </x:c>
      <x:c r="C42" t="n">
        <x:v>8001</x:v>
      </x:c>
      <x:c r="D42" t="n">
        <x:v>8.30951956653696</x:v>
      </x:c>
      <x:c r="E42" t="n">
        <x:v>9.866037548439651</x:v>
      </x:c>
      <x:c r="F42" t="n">
        <x:v>7.664624691794291</x:v>
      </x:c>
      <x:c r="G42" t="n">
        <x:v>6.265118453756129</x:v>
      </x:c>
      <x:c r="H42" t="n">
        <x:v>2.74295488025044</x:v>
      </x:c>
      <x:c r="I42" t="n">
        <x:v>11.002303419579293</x:v>
      </x:c>
    </x:row>
    <x:row r="43">
      <x:c r="A43" t="str">
        <x:v>rho_si</x:v>
      </x:c>
      <x:c r="B43" t="n">
        <x:v>0.0001</x:v>
      </x:c>
      <x:c r="C43" t="n">
        <x:v>8002</x:v>
      </x:c>
      <x:c r="D43" t="n">
        <x:v>7.955423102831265</x:v>
      </x:c>
      <x:c r="E43" t="n">
        <x:v>10.334980651574107</x:v>
      </x:c>
      <x:c r="F43" t="n">
        <x:v>7.747689591740125</x:v>
      </x:c>
      <x:c r="G43" t="n">
        <x:v>5.675178328862781</x:v>
      </x:c>
      <x:c r="H43" t="n">
        <x:v>2.6590917914264396</x:v>
      </x:c>
      <x:c r="I43" t="n">
        <x:v>10.89742259773893</x:v>
      </x:c>
    </x:row>
    <x:row r="44">
      <x:c r="A44" t="str">
        <x:v>rho_si</x:v>
      </x:c>
      <x:c r="B44" t="n">
        <x:v>0.0001</x:v>
      </x:c>
      <x:c r="C44" t="n">
        <x:v>8003</x:v>
      </x:c>
      <x:c r="D44" t="n">
        <x:v>7.956033723648894</x:v>
      </x:c>
      <x:c r="E44" t="n">
        <x:v>10.431003592703618</x:v>
      </x:c>
      <x:c r="F44" t="n">
        <x:v>7.621733628545408</x:v>
      </x:c>
      <x:c r="G44" t="n">
        <x:v>5.894157133026767</x:v>
      </x:c>
      <x:c r="H44" t="n">
        <x:v>2.613165987269283</x:v>
      </x:c>
      <x:c r="I44" t="n">
        <x:v>10.943991429484342</x:v>
      </x:c>
    </x:row>
    <x:row r="45">
      <x:c r="A45" t="str">
        <x:v>rho_si</x:v>
      </x:c>
      <x:c r="B45" t="n">
        <x:v>0.0001</x:v>
      </x:c>
      <x:c r="C45" t="n">
        <x:v>8004</x:v>
      </x:c>
      <x:c r="D45" t="n">
        <x:v>8.740597175178813</x:v>
      </x:c>
      <x:c r="E45" t="n">
        <x:v>10.155107623479694</x:v>
      </x:c>
      <x:c r="F45" t="n">
        <x:v>7.795571774968062</x:v>
      </x:c>
      <x:c r="G45" t="n">
        <x:v>5.293547688444553</x:v>
      </x:c>
      <x:c r="H45" t="n">
        <x:v>2.760011127050933</x:v>
      </x:c>
      <x:c r="I45" t="n">
        <x:v>10.827607048536148</x:v>
      </x:c>
    </x:row>
    <x:row r="46">
      <x:c r="A46" t="str">
        <x:v>rho_si</x:v>
      </x:c>
      <x:c r="B46" t="n">
        <x:v>0.0001</x:v>
      </x:c>
      <x:c r="C46" t="n">
        <x:v>8005</x:v>
      </x:c>
      <x:c r="D46" t="n">
        <x:v>8.522361221299338</x:v>
      </x:c>
      <x:c r="E46" t="n">
        <x:v>9.956098314982246</x:v>
      </x:c>
      <x:c r="F46" t="n">
        <x:v>7.82314886133896</x:v>
      </x:c>
      <x:c r="G46" t="n">
        <x:v>4.705998435371143</x:v>
      </x:c>
      <x:c r="H46" t="n">
        <x:v>2.9500925583387603</x:v>
      </x:c>
      <x:c r="I46" t="n">
        <x:v>10.689392996996661</x:v>
      </x:c>
    </x:row>
    <x:row r="47">
      <x:c r="A47" t="str">
        <x:v>rho_si</x:v>
      </x:c>
      <x:c r="B47" t="n">
        <x:v>0.0001</x:v>
      </x:c>
      <x:c r="C47" t="n">
        <x:v>8006</x:v>
      </x:c>
      <x:c r="D47" t="n">
        <x:v>7.932518316468467</x:v>
      </x:c>
      <x:c r="E47" t="n">
        <x:v>10.403530858120833</x:v>
      </x:c>
      <x:c r="F47" t="n">
        <x:v>8.413500683359224</x:v>
      </x:c>
      <x:c r="G47" t="n">
        <x:v>5.8413419389915395</x:v>
      </x:c>
      <x:c r="H47" t="n">
        <x:v>3.3980723055778888</x:v>
      </x:c>
      <x:c r="I47" t="n">
        <x:v>10.989865977327925</x:v>
      </x:c>
    </x:row>
    <x:row r="48">
      <x:c r="A48" t="str">
        <x:v>rho_si</x:v>
      </x:c>
      <x:c r="B48" t="n">
        <x:v>0.0001</x:v>
      </x:c>
      <x:c r="C48" t="n">
        <x:v>8007</x:v>
      </x:c>
      <x:c r="D48" t="n">
        <x:v>8.238667128902211</x:v>
      </x:c>
      <x:c r="E48" t="n">
        <x:v>10.319877980375468</x:v>
      </x:c>
      <x:c r="F48" t="n">
        <x:v>7.326266124134751</x:v>
      </x:c>
      <x:c r="G48" t="n">
        <x:v>6.178336178737242</x:v>
      </x:c>
      <x:c r="H48" t="n">
        <x:v>2.3879958804806654</x:v>
      </x:c>
      <x:c r="I48" t="n">
        <x:v>11.003244577587491</x:v>
      </x:c>
    </x:row>
    <x:row r="49">
      <x:c r="A49" t="str">
        <x:v>rho_si</x:v>
      </x:c>
      <x:c r="B49" t="n">
        <x:v>0.0001</x:v>
      </x:c>
      <x:c r="C49" t="n">
        <x:v>8008</x:v>
      </x:c>
      <x:c r="D49" t="n">
        <x:v>8.62881490394292</x:v>
      </x:c>
      <x:c r="E49" t="n">
        <x:v>10.492976127682422</x:v>
      </x:c>
      <x:c r="F49" t="n">
        <x:v>7.811333485125168</x:v>
      </x:c>
      <x:c r="G49" t="n">
        <x:v>5.838380280336797</x:v>
      </x:c>
      <x:c r="H49" t="n">
        <x:v>2.831329138787817</x:v>
      </x:c>
      <x:c r="I49" t="n">
        <x:v>10.731765052628475</x:v>
      </x:c>
    </x:row>
    <x:row r="50">
      <x:c r="A50" t="str">
        <x:v>rho_si</x:v>
      </x:c>
      <x:c r="B50" t="n">
        <x:v>0.0001</x:v>
      </x:c>
      <x:c r="C50" t="n">
        <x:v>8009</x:v>
      </x:c>
      <x:c r="D50" t="n">
        <x:v>8.377194411501367</x:v>
      </x:c>
      <x:c r="E50" t="n">
        <x:v>10.395004147766569</x:v>
      </x:c>
      <x:c r="F50" t="n">
        <x:v>7.333292698365593</x:v>
      </x:c>
      <x:c r="G50" t="n">
        <x:v>5.49026980820149</x:v>
      </x:c>
      <x:c r="H50" t="n">
        <x:v>2.5017412176738003</x:v>
      </x:c>
      <x:c r="I50" t="n">
        <x:v>10.741032407583862</x:v>
      </x:c>
    </x:row>
    <x:row r="51">
      <x:c r="A51" t="str">
        <x:v>rho_si</x:v>
      </x:c>
      <x:c r="B51" t="n">
        <x:v>0.0001</x:v>
      </x:c>
      <x:c r="C51" t="n">
        <x:v>8010</x:v>
      </x:c>
      <x:c r="D51" t="n">
        <x:v>8.87349958972944</x:v>
      </x:c>
      <x:c r="E51" t="n">
        <x:v>10.303627408765513</x:v>
      </x:c>
      <x:c r="F51" t="n">
        <x:v>7.30115875249561</x:v>
      </x:c>
      <x:c r="G51" t="n">
        <x:v>5.789114156551019</x:v>
      </x:c>
      <x:c r="H51" t="n">
        <x:v>2.415826692455277</x:v>
      </x:c>
      <x:c r="I51" t="n">
        <x:v>11.091444133273601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3.5" hidden="0" customWidth="1"/>
    <x:col min="3" max="3" width="9.380000114440918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1.380000114440918" hidden="0" customWidth="1"/>
  </x:cols>
  <x:sheetData>
    <x:row r="1">
      <x:c r="A1" s="5" t="str">
        <x:v>parameter_name</x:v>
      </x:c>
      <x:c r="B1" s="5" t="str">
        <x:v>parameter_value</x:v>
      </x:c>
      <x:c r="C1" s="5" t="str">
        <x:v>scene_seed</x:v>
      </x:c>
      <x:c r="D1" s="5" t="str">
        <x:v>b1_wsr</x:v>
      </x:c>
      <x:c r="E1" s="5" t="str">
        <x:v>b2_wsr</x:v>
      </x:c>
      <x:c r="F1" s="5" t="str">
        <x:v>b3_wsr</x:v>
      </x:c>
      <x:c r="G1" s="5" t="str">
        <x:v>b4_wsr</x:v>
      </x:c>
      <x:c r="H1" s="5" t="str">
        <x:v>b5_wsr</x:v>
      </x:c>
      <x:c r="I1" s="5" t="str">
        <x:v>proposed_wsr</x:v>
      </x:c>
    </x:row>
    <x:row r="2">
      <x:c r="A2" t="str">
        <x:v>p_dl_max</x:v>
      </x:c>
      <x:c r="B2" t="n">
        <x:v>0.2</x:v>
      </x:c>
      <x:c r="C2" t="n">
        <x:v>8001</x:v>
      </x:c>
      <x:c r="D2" t="n">
        <x:v>7.965129819548401</x:v>
      </x:c>
      <x:c r="E2" t="n">
        <x:v>9.387190164441767</x:v>
      </x:c>
      <x:c r="F2" t="n">
        <x:v>6.573848062420629</x:v>
      </x:c>
      <x:c r="G2" t="n">
        <x:v>5.7079312672159865</x:v>
      </x:c>
      <x:c r="H2" t="n">
        <x:v>2.711670367826522</x:v>
      </x:c>
      <x:c r="I2" t="n">
        <x:v>9.665117106909491</x:v>
      </x:c>
    </x:row>
    <x:row r="3">
      <x:c r="A3" t="str">
        <x:v>p_dl_max</x:v>
      </x:c>
      <x:c r="B3" t="n">
        <x:v>0.2</x:v>
      </x:c>
      <x:c r="C3" t="n">
        <x:v>8002</x:v>
      </x:c>
      <x:c r="D3" t="n">
        <x:v>7.670899122592574</x:v>
      </x:c>
      <x:c r="E3" t="n">
        <x:v>8.965842641743158</x:v>
      </x:c>
      <x:c r="F3" t="n">
        <x:v>6.839691268287437</x:v>
      </x:c>
      <x:c r="G3" t="n">
        <x:v>5.154117640162047</x:v>
      </x:c>
      <x:c r="H3" t="n">
        <x:v>2.6880498723327513</x:v>
      </x:c>
      <x:c r="I3" t="n">
        <x:v>9.51911893410469</x:v>
      </x:c>
    </x:row>
    <x:row r="4">
      <x:c r="A4" t="str">
        <x:v>p_dl_max</x:v>
      </x:c>
      <x:c r="B4" t="n">
        <x:v>0.2</x:v>
      </x:c>
      <x:c r="C4" t="n">
        <x:v>8003</x:v>
      </x:c>
      <x:c r="D4" t="n">
        <x:v>8.115838169365475</x:v>
      </x:c>
      <x:c r="E4" t="n">
        <x:v>8.881231098647014</x:v>
      </x:c>
      <x:c r="F4" t="n">
        <x:v>6.560916806816488</x:v>
      </x:c>
      <x:c r="G4" t="n">
        <x:v>5.454619684970412</x:v>
      </x:c>
      <x:c r="H4" t="n">
        <x:v>2.559160514664147</x:v>
      </x:c>
      <x:c r="I4" t="n">
        <x:v>9.437841666989613</x:v>
      </x:c>
    </x:row>
    <x:row r="5">
      <x:c r="A5" t="str">
        <x:v>p_dl_max</x:v>
      </x:c>
      <x:c r="B5" t="n">
        <x:v>0.2</x:v>
      </x:c>
      <x:c r="C5" t="n">
        <x:v>8004</x:v>
      </x:c>
      <x:c r="D5" t="n">
        <x:v>8.519778664214753</x:v>
      </x:c>
      <x:c r="E5" t="n">
        <x:v>8.879169553307692</x:v>
      </x:c>
      <x:c r="F5" t="n">
        <x:v>6.8241269579532124</x:v>
      </x:c>
      <x:c r="G5" t="n">
        <x:v>4.956195054247899</x:v>
      </x:c>
      <x:c r="H5" t="n">
        <x:v>2.8245997009604613</x:v>
      </x:c>
      <x:c r="I5" t="n">
        <x:v>9.600589599793214</x:v>
      </x:c>
    </x:row>
    <x:row r="6">
      <x:c r="A6" t="str">
        <x:v>p_dl_max</x:v>
      </x:c>
      <x:c r="B6" t="n">
        <x:v>0.2</x:v>
      </x:c>
      <x:c r="C6" t="n">
        <x:v>8005</x:v>
      </x:c>
      <x:c r="D6" t="n">
        <x:v>7.689539100102739</x:v>
      </x:c>
      <x:c r="E6" t="n">
        <x:v>8.583017126246478</x:v>
      </x:c>
      <x:c r="F6" t="n">
        <x:v>6.888562486341884</x:v>
      </x:c>
      <x:c r="G6" t="n">
        <x:v>4.257452785700487</x:v>
      </x:c>
      <x:c r="H6" t="n">
        <x:v>2.7994774556493898</x:v>
      </x:c>
      <x:c r="I6" t="n">
        <x:v>9.470952429137764</x:v>
      </x:c>
    </x:row>
    <x:row r="7">
      <x:c r="A7" t="str">
        <x:v>p_dl_max</x:v>
      </x:c>
      <x:c r="B7" t="n">
        <x:v>0.2</x:v>
      </x:c>
      <x:c r="C7" t="n">
        <x:v>8006</x:v>
      </x:c>
      <x:c r="D7" t="n">
        <x:v>7.208720320731751</x:v>
      </x:c>
      <x:c r="E7" t="n">
        <x:v>9.135583186070406</x:v>
      </x:c>
      <x:c r="F7" t="n">
        <x:v>7.169081665246136</x:v>
      </x:c>
      <x:c r="G7" t="n">
        <x:v>5.337534409467491</x:v>
      </x:c>
      <x:c r="H7" t="n">
        <x:v>3.1740119175355677</x:v>
      </x:c>
      <x:c r="I7" t="n">
        <x:v>9.686165778417724</x:v>
      </x:c>
    </x:row>
    <x:row r="8">
      <x:c r="A8" t="str">
        <x:v>p_dl_max</x:v>
      </x:c>
      <x:c r="B8" t="n">
        <x:v>0.2</x:v>
      </x:c>
      <x:c r="C8" t="n">
        <x:v>8007</x:v>
      </x:c>
      <x:c r="D8" t="n">
        <x:v>7.65297793047467</x:v>
      </x:c>
      <x:c r="E8" t="n">
        <x:v>9.182634837540922</x:v>
      </x:c>
      <x:c r="F8" t="n">
        <x:v>6.758830883845375</x:v>
      </x:c>
      <x:c r="G8" t="n">
        <x:v>5.715117378524877</x:v>
      </x:c>
      <x:c r="H8" t="n">
        <x:v>2.6360306427989597</x:v>
      </x:c>
      <x:c r="I8" t="n">
        <x:v>9.577446755299766</x:v>
      </x:c>
    </x:row>
    <x:row r="9">
      <x:c r="A9" t="str">
        <x:v>p_dl_max</x:v>
      </x:c>
      <x:c r="B9" t="n">
        <x:v>0.2</x:v>
      </x:c>
      <x:c r="C9" t="n">
        <x:v>8008</x:v>
      </x:c>
      <x:c r="D9" t="n">
        <x:v>7.127498771152327</x:v>
      </x:c>
      <x:c r="E9" t="n">
        <x:v>9.019016205520572</x:v>
      </x:c>
      <x:c r="F9" t="n">
        <x:v>6.788000292486583</x:v>
      </x:c>
      <x:c r="G9" t="n">
        <x:v>5.335978565575366</x:v>
      </x:c>
      <x:c r="H9" t="n">
        <x:v>2.8079499213120553</x:v>
      </x:c>
      <x:c r="I9" t="n">
        <x:v>9.411878695422454</x:v>
      </x:c>
    </x:row>
    <x:row r="10">
      <x:c r="A10" t="str">
        <x:v>p_dl_max</x:v>
      </x:c>
      <x:c r="B10" t="n">
        <x:v>0.2</x:v>
      </x:c>
      <x:c r="C10" t="n">
        <x:v>8009</x:v>
      </x:c>
      <x:c r="D10" t="n">
        <x:v>8.004723496295256</x:v>
      </x:c>
      <x:c r="E10" t="n">
        <x:v>8.955357926793136</x:v>
      </x:c>
      <x:c r="F10" t="n">
        <x:v>6.582781991406432</x:v>
      </x:c>
      <x:c r="G10" t="n">
        <x:v>5.049959886365652</x:v>
      </x:c>
      <x:c r="H10" t="n">
        <x:v>2.7393348562726585</x:v>
      </x:c>
      <x:c r="I10" t="n">
        <x:v>9.391780133325103</x:v>
      </x:c>
    </x:row>
    <x:row r="11">
      <x:c r="A11" t="str">
        <x:v>p_dl_max</x:v>
      </x:c>
      <x:c r="B11" t="n">
        <x:v>0.2</x:v>
      </x:c>
      <x:c r="C11" t="n">
        <x:v>8010</x:v>
      </x:c>
      <x:c r="D11" t="n">
        <x:v>7.991191713053949</x:v>
      </x:c>
      <x:c r="E11" t="n">
        <x:v>9.084498342051596</x:v>
      </x:c>
      <x:c r="F11" t="n">
        <x:v>6.6395250882712915</x:v>
      </x:c>
      <x:c r="G11" t="n">
        <x:v>5.257039946208183</x:v>
      </x:c>
      <x:c r="H11" t="n">
        <x:v>2.5680661770106634</x:v>
      </x:c>
      <x:c r="I11" t="n">
        <x:v>9.725220597415701</x:v>
      </x:c>
    </x:row>
    <x:row r="12">
      <x:c r="A12" t="str">
        <x:v>p_dl_max</x:v>
      </x:c>
      <x:c r="B12" t="n">
        <x:v>0.5</x:v>
      </x:c>
      <x:c r="C12" t="n">
        <x:v>8001</x:v>
      </x:c>
      <x:c r="D12" t="n">
        <x:v>7.579804482798029</x:v>
      </x:c>
      <x:c r="E12" t="n">
        <x:v>10.133241901117007</x:v>
      </x:c>
      <x:c r="F12" t="n">
        <x:v>7.258440966511156</x:v>
      </x:c>
      <x:c r="G12" t="n">
        <x:v>6.140312315675871</x:v>
      </x:c>
      <x:c r="H12" t="n">
        <x:v>2.8783757249448807</x:v>
      </x:c>
      <x:c r="I12" t="n">
        <x:v>10.454352806768679</x:v>
      </x:c>
    </x:row>
    <x:row r="13">
      <x:c r="A13" t="str">
        <x:v>p_dl_max</x:v>
      </x:c>
      <x:c r="B13" t="n">
        <x:v>0.5</x:v>
      </x:c>
      <x:c r="C13" t="n">
        <x:v>8002</x:v>
      </x:c>
      <x:c r="D13" t="n">
        <x:v>8.555589445848168</x:v>
      </x:c>
      <x:c r="E13" t="n">
        <x:v>9.735260792499986</x:v>
      </x:c>
      <x:c r="F13" t="n">
        <x:v>7.3855315132004815</x:v>
      </x:c>
      <x:c r="G13" t="n">
        <x:v>5.574874290678097</x:v>
      </x:c>
      <x:c r="H13" t="n">
        <x:v>2.726421087877525</x:v>
      </x:c>
      <x:c r="I13" t="n">
        <x:v>10.37341144664852</x:v>
      </x:c>
    </x:row>
    <x:row r="14">
      <x:c r="A14" t="str">
        <x:v>p_dl_max</x:v>
      </x:c>
      <x:c r="B14" t="n">
        <x:v>0.5</x:v>
      </x:c>
      <x:c r="C14" t="n">
        <x:v>8003</x:v>
      </x:c>
      <x:c r="D14" t="n">
        <x:v>8.42725807788708</x:v>
      </x:c>
      <x:c r="E14" t="n">
        <x:v>9.759367637242777</x:v>
      </x:c>
      <x:c r="F14" t="n">
        <x:v>7.207684755784971</x:v>
      </x:c>
      <x:c r="G14" t="n">
        <x:v>5.812819006398733</x:v>
      </x:c>
      <x:c r="H14" t="n">
        <x:v>2.7264257103537495</x:v>
      </x:c>
      <x:c r="I14" t="n">
        <x:v>10.670648402611851</x:v>
      </x:c>
    </x:row>
    <x:row r="15">
      <x:c r="A15" t="str">
        <x:v>p_dl_max</x:v>
      </x:c>
      <x:c r="B15" t="n">
        <x:v>0.5</x:v>
      </x:c>
      <x:c r="C15" t="n">
        <x:v>8004</x:v>
      </x:c>
      <x:c r="D15" t="n">
        <x:v>8.028369484815881</x:v>
      </x:c>
      <x:c r="E15" t="n">
        <x:v>9.654157976428033</x:v>
      </x:c>
      <x:c r="F15" t="n">
        <x:v>7.453982454082164</x:v>
      </x:c>
      <x:c r="G15" t="n">
        <x:v>5.324645402167683</x:v>
      </x:c>
      <x:c r="H15" t="n">
        <x:v>2.973519351279787</x:v>
      </x:c>
      <x:c r="I15" t="n">
        <x:v>10.373930582585665</x:v>
      </x:c>
    </x:row>
    <x:row r="16">
      <x:c r="A16" t="str">
        <x:v>p_dl_max</x:v>
      </x:c>
      <x:c r="B16" t="n">
        <x:v>0.5</x:v>
      </x:c>
      <x:c r="C16" t="n">
        <x:v>8005</x:v>
      </x:c>
      <x:c r="D16" t="n">
        <x:v>7.893543335979291</x:v>
      </x:c>
      <x:c r="E16" t="n">
        <x:v>9.50138730699157</x:v>
      </x:c>
      <x:c r="F16" t="n">
        <x:v>7.4416424551362885</x:v>
      </x:c>
      <x:c r="G16" t="n">
        <x:v>4.6204800118505025</x:v>
      </x:c>
      <x:c r="H16" t="n">
        <x:v>2.9098954778318156</x:v>
      </x:c>
      <x:c r="I16" t="n">
        <x:v>10.241897131901563</x:v>
      </x:c>
    </x:row>
    <x:row r="17">
      <x:c r="A17" t="str">
        <x:v>p_dl_max</x:v>
      </x:c>
      <x:c r="B17" t="n">
        <x:v>0.5</x:v>
      </x:c>
      <x:c r="C17" t="n">
        <x:v>8006</x:v>
      </x:c>
      <x:c r="D17" t="n">
        <x:v>8.372291104209328</x:v>
      </x:c>
      <x:c r="E17" t="n">
        <x:v>9.907054998460719</x:v>
      </x:c>
      <x:c r="F17" t="n">
        <x:v>7.899513092463861</x:v>
      </x:c>
      <x:c r="G17" t="n">
        <x:v>5.76636090837248</x:v>
      </x:c>
      <x:c r="H17" t="n">
        <x:v>3.4077134222297865</x:v>
      </x:c>
      <x:c r="I17" t="n">
        <x:v>10.576873186157849</x:v>
      </x:c>
    </x:row>
    <x:row r="18">
      <x:c r="A18" t="str">
        <x:v>p_dl_max</x:v>
      </x:c>
      <x:c r="B18" t="n">
        <x:v>0.5</x:v>
      </x:c>
      <x:c r="C18" t="n">
        <x:v>8007</x:v>
      </x:c>
      <x:c r="D18" t="n">
        <x:v>7.628947844290901</x:v>
      </x:c>
      <x:c r="E18" t="n">
        <x:v>9.888347920550661</x:v>
      </x:c>
      <x:c r="F18" t="n">
        <x:v>7.249489227979576</x:v>
      </x:c>
      <x:c r="G18" t="n">
        <x:v>6.144104059592175</x:v>
      </x:c>
      <x:c r="H18" t="n">
        <x:v>2.681196939233253</x:v>
      </x:c>
      <x:c r="I18" t="n">
        <x:v>10.452716702889095</x:v>
      </x:c>
    </x:row>
    <x:row r="19">
      <x:c r="A19" t="str">
        <x:v>p_dl_max</x:v>
      </x:c>
      <x:c r="B19" t="n">
        <x:v>0.5</x:v>
      </x:c>
      <x:c r="C19" t="n">
        <x:v>8008</x:v>
      </x:c>
      <x:c r="D19" t="n">
        <x:v>8.21252397003957</x:v>
      </x:c>
      <x:c r="E19" t="n">
        <x:v>9.822265801357728</x:v>
      </x:c>
      <x:c r="F19" t="n">
        <x:v>7.510936239251392</x:v>
      </x:c>
      <x:c r="G19" t="n">
        <x:v>5.765253254338709</x:v>
      </x:c>
      <x:c r="H19" t="n">
        <x:v>3.0011358384854896</x:v>
      </x:c>
      <x:c r="I19" t="n">
        <x:v>10.166591136675056</x:v>
      </x:c>
    </x:row>
    <x:row r="20">
      <x:c r="A20" t="str">
        <x:v>p_dl_max</x:v>
      </x:c>
      <x:c r="B20" t="n">
        <x:v>0.5</x:v>
      </x:c>
      <x:c r="C20" t="n">
        <x:v>8009</x:v>
      </x:c>
      <x:c r="D20" t="n">
        <x:v>8.814271328607894</x:v>
      </x:c>
      <x:c r="E20" t="n">
        <x:v>9.86559886799079</x:v>
      </x:c>
      <x:c r="F20" t="n">
        <x:v>7.015253970314095</x:v>
      </x:c>
      <x:c r="G20" t="n">
        <x:v>5.434423606495004</x:v>
      </x:c>
      <x:c r="H20" t="n">
        <x:v>2.7357009715137224</x:v>
      </x:c>
      <x:c r="I20" t="n">
        <x:v>10.18254656137783</x:v>
      </x:c>
    </x:row>
    <x:row r="21">
      <x:c r="A21" t="str">
        <x:v>p_dl_max</x:v>
      </x:c>
      <x:c r="B21" t="n">
        <x:v>0.5</x:v>
      </x:c>
      <x:c r="C21" t="n">
        <x:v>8010</x:v>
      </x:c>
      <x:c r="D21" t="n">
        <x:v>7.982480330597134</x:v>
      </x:c>
      <x:c r="E21" t="n">
        <x:v>9.878253517275347</x:v>
      </x:c>
      <x:c r="F21" t="n">
        <x:v>7.125577269778068</x:v>
      </x:c>
      <x:c r="G21" t="n">
        <x:v>5.684091584080926</x:v>
      </x:c>
      <x:c r="H21" t="n">
        <x:v>2.607042363820669</x:v>
      </x:c>
      <x:c r="I21" t="n">
        <x:v>10.402921978300931</x:v>
      </x:c>
    </x:row>
    <x:row r="22">
      <x:c r="A22" t="str">
        <x:v>p_dl_max</x:v>
      </x:c>
      <x:c r="B22" t="n">
        <x:v>1</x:v>
      </x:c>
      <x:c r="C22" t="n">
        <x:v>8001</x:v>
      </x:c>
      <x:c r="D22" t="n">
        <x:v>8.43429716740991</x:v>
      </x:c>
      <x:c r="E22" t="n">
        <x:v>10.59041912411183</x:v>
      </x:c>
      <x:c r="F22" t="n">
        <x:v>7.829040627776086</x:v>
      </x:c>
      <x:c r="G22" t="n">
        <x:v>6.470819119007356</x:v>
      </x:c>
      <x:c r="H22" t="n">
        <x:v>3.064073629210867</x:v>
      </x:c>
      <x:c r="I22" t="n">
        <x:v>11.001612568664072</x:v>
      </x:c>
    </x:row>
    <x:row r="23">
      <x:c r="A23" t="str">
        <x:v>p_dl_max</x:v>
      </x:c>
      <x:c r="B23" t="n">
        <x:v>1</x:v>
      </x:c>
      <x:c r="C23" t="n">
        <x:v>8002</x:v>
      </x:c>
      <x:c r="D23" t="n">
        <x:v>8.45971634215669</x:v>
      </x:c>
      <x:c r="E23" t="n">
        <x:v>10.314807399880067</x:v>
      </x:c>
      <x:c r="F23" t="n">
        <x:v>7.8477476482958</x:v>
      </x:c>
      <x:c r="G23" t="n">
        <x:v>5.901375616825838</x:v>
      </x:c>
      <x:c r="H23" t="n">
        <x:v>2.8296714238311704</x:v>
      </x:c>
      <x:c r="I23" t="n">
        <x:v>10.859006836214562</x:v>
      </x:c>
    </x:row>
    <x:row r="24">
      <x:c r="A24" t="str">
        <x:v>p_dl_max</x:v>
      </x:c>
      <x:c r="B24" t="n">
        <x:v>1</x:v>
      </x:c>
      <x:c r="C24" t="n">
        <x:v>8003</x:v>
      </x:c>
      <x:c r="D24" t="n">
        <x:v>8.224625151639021</x:v>
      </x:c>
      <x:c r="E24" t="n">
        <x:v>10.543928866130575</x:v>
      </x:c>
      <x:c r="F24" t="n">
        <x:v>7.756684293644977</x:v>
      </x:c>
      <x:c r="G24" t="n">
        <x:v>6.082949773946507</x:v>
      </x:c>
      <x:c r="H24" t="n">
        <x:v>2.9124599865246585</x:v>
      </x:c>
      <x:c r="I24" t="n">
        <x:v>11.012617056214117</x:v>
      </x:c>
    </x:row>
    <x:row r="25">
      <x:c r="A25" t="str">
        <x:v>p_dl_max</x:v>
      </x:c>
      <x:c r="B25" t="n">
        <x:v>1</x:v>
      </x:c>
      <x:c r="C25" t="n">
        <x:v>8004</x:v>
      </x:c>
      <x:c r="D25" t="n">
        <x:v>9.110881043093562</x:v>
      </x:c>
      <x:c r="E25" t="n">
        <x:v>10.372249677914883</x:v>
      </x:c>
      <x:c r="F25" t="n">
        <x:v>7.992382912026051</x:v>
      </x:c>
      <x:c r="G25" t="n">
        <x:v>5.629510711258833</x:v>
      </x:c>
      <x:c r="H25" t="n">
        <x:v>3.1438241936376388</x:v>
      </x:c>
      <x:c r="I25" t="n">
        <x:v>10.966976979653285</x:v>
      </x:c>
    </x:row>
    <x:row r="26">
      <x:c r="A26" t="str">
        <x:v>p_dl_max</x:v>
      </x:c>
      <x:c r="B26" t="n">
        <x:v>1</x:v>
      </x:c>
      <x:c r="C26" t="n">
        <x:v>8005</x:v>
      </x:c>
      <x:c r="D26" t="n">
        <x:v>7.813596498598386</x:v>
      </x:c>
      <x:c r="E26" t="n">
        <x:v>9.620565006012761</x:v>
      </x:c>
      <x:c r="F26" t="n">
        <x:v>7.939976731540365</x:v>
      </x:c>
      <x:c r="G26" t="n">
        <x:v>4.925853530907535</x:v>
      </x:c>
      <x:c r="H26" t="n">
        <x:v>3.0868306419144025</x:v>
      </x:c>
      <x:c r="I26" t="n">
        <x:v>10.740321753695746</x:v>
      </x:c>
    </x:row>
    <x:row r="27">
      <x:c r="A27" t="str">
        <x:v>p_dl_max</x:v>
      </x:c>
      <x:c r="B27" t="n">
        <x:v>1</x:v>
      </x:c>
      <x:c r="C27" t="n">
        <x:v>8006</x:v>
      </x:c>
      <x:c r="D27" t="n">
        <x:v>8.519280669503921</x:v>
      </x:c>
      <x:c r="E27" t="n">
        <x:v>10.403253420511806</x:v>
      </x:c>
      <x:c r="F27" t="n">
        <x:v>8.492090915038984</x:v>
      </x:c>
      <x:c r="G27" t="n">
        <x:v>6.095676624859248</x:v>
      </x:c>
      <x:c r="H27" t="n">
        <x:v>3.631450939919371</x:v>
      </x:c>
      <x:c r="I27" t="n">
        <x:v>10.940387534959488</x:v>
      </x:c>
    </x:row>
    <x:row r="28">
      <x:c r="A28" t="str">
        <x:v>p_dl_max</x:v>
      </x:c>
      <x:c r="B28" t="n">
        <x:v>1</x:v>
      </x:c>
      <x:c r="C28" t="n">
        <x:v>8007</x:v>
      </x:c>
      <x:c r="D28" t="n">
        <x:v>8.10577948524617</x:v>
      </x:c>
      <x:c r="E28" t="n">
        <x:v>10.43980752618208</x:v>
      </x:c>
      <x:c r="F28" t="n">
        <x:v>7.6571150641465575</x:v>
      </x:c>
      <x:c r="G28" t="n">
        <x:v>6.4734569220908895</x:v>
      </x:c>
      <x:c r="H28" t="n">
        <x:v>2.7488065574964424</x:v>
      </x:c>
      <x:c r="I28" t="n">
        <x:v>11.067623029300515</x:v>
      </x:c>
    </x:row>
    <x:row r="29">
      <x:c r="A29" t="str">
        <x:v>p_dl_max</x:v>
      </x:c>
      <x:c r="B29" t="n">
        <x:v>1</x:v>
      </x:c>
      <x:c r="C29" t="n">
        <x:v>8008</x:v>
      </x:c>
      <x:c r="D29" t="n">
        <x:v>9.514805323193157</x:v>
      </x:c>
      <x:c r="E29" t="n">
        <x:v>10.353345599124468</x:v>
      </x:c>
      <x:c r="F29" t="n">
        <x:v>8.075079292381163</x:v>
      </x:c>
      <x:c r="G29" t="n">
        <x:v>6.094715374080513</x:v>
      </x:c>
      <x:c r="H29" t="n">
        <x:v>3.173877878048409</x:v>
      </x:c>
      <x:c r="I29" t="n">
        <x:v>10.83454477400157</x:v>
      </x:c>
    </x:row>
    <x:row r="30">
      <x:c r="A30" t="str">
        <x:v>p_dl_max</x:v>
      </x:c>
      <x:c r="B30" t="n">
        <x:v>1</x:v>
      </x:c>
      <x:c r="C30" t="n">
        <x:v>8009</x:v>
      </x:c>
      <x:c r="D30" t="n">
        <x:v>9.220295007760162</x:v>
      </x:c>
      <x:c r="E30" t="n">
        <x:v>10.040128105345016</x:v>
      </x:c>
      <x:c r="F30" t="n">
        <x:v>7.356989993141457</x:v>
      </x:c>
      <x:c r="G30" t="n">
        <x:v>5.7459781752124695</x:v>
      </x:c>
      <x:c r="H30" t="n">
        <x:v>2.74100116434817</x:v>
      </x:c>
      <x:c r="I30" t="n">
        <x:v>10.745833650383386</x:v>
      </x:c>
    </x:row>
    <x:row r="31">
      <x:c r="A31" t="str">
        <x:v>p_dl_max</x:v>
      </x:c>
      <x:c r="B31" t="n">
        <x:v>1</x:v>
      </x:c>
      <x:c r="C31" t="n">
        <x:v>8010</x:v>
      </x:c>
      <x:c r="D31" t="n">
        <x:v>8.511765131709067</x:v>
      </x:c>
      <x:c r="E31" t="n">
        <x:v>10.400031408270197</x:v>
      </x:c>
      <x:c r="F31" t="n">
        <x:v>7.525591242986816</x:v>
      </x:c>
      <x:c r="G31" t="n">
        <x:v>6.012782631872352</x:v>
      </x:c>
      <x:c r="H31" t="n">
        <x:v>2.6640526902436594</x:v>
      </x:c>
      <x:c r="I31" t="n">
        <x:v>11.003499531616189</x:v>
      </x:c>
    </x:row>
    <x:row r="32">
      <x:c r="A32" t="str">
        <x:v>p_dl_max</x:v>
      </x:c>
      <x:c r="B32" t="n">
        <x:v>1.5</x:v>
      </x:c>
      <x:c r="C32" t="n">
        <x:v>8001</x:v>
      </x:c>
      <x:c r="D32" t="n">
        <x:v>8.85471698223879</x:v>
      </x:c>
      <x:c r="E32" t="n">
        <x:v>10.915452058077307</x:v>
      </x:c>
      <x:c r="F32" t="n">
        <x:v>8.17267512937831</x:v>
      </x:c>
      <x:c r="G32" t="n">
        <x:v>6.664846428589747</x:v>
      </x:c>
      <x:c r="H32" t="n">
        <x:v>3.194204255342811</x:v>
      </x:c>
      <x:c r="I32" t="n">
        <x:v>11.237031348582793</x:v>
      </x:c>
    </x:row>
    <x:row r="33">
      <x:c r="A33" t="str">
        <x:v>p_dl_max</x:v>
      </x:c>
      <x:c r="B33" t="n">
        <x:v>1.5</x:v>
      </x:c>
      <x:c r="C33" t="n">
        <x:v>8002</x:v>
      </x:c>
      <x:c r="D33" t="n">
        <x:v>8.42089238872466</x:v>
      </x:c>
      <x:c r="E33" t="n">
        <x:v>10.647249246615345</x:v>
      </x:c>
      <x:c r="F33" t="n">
        <x:v>8.132529459664388</x:v>
      </x:c>
      <x:c r="G33" t="n">
        <x:v>6.094054952154965</x:v>
      </x:c>
      <x:c r="H33" t="n">
        <x:v>2.9234796385722577</x:v>
      </x:c>
      <x:c r="I33" t="n">
        <x:v>11.190414055924963</x:v>
      </x:c>
    </x:row>
    <x:row r="34">
      <x:c r="A34" t="str">
        <x:v>p_dl_max</x:v>
      </x:c>
      <x:c r="B34" t="n">
        <x:v>1.5</x:v>
      </x:c>
      <x:c r="C34" t="n">
        <x:v>8003</x:v>
      </x:c>
      <x:c r="D34" t="n">
        <x:v>8.643603534632652</x:v>
      </x:c>
      <x:c r="E34" t="n">
        <x:v>11.00510779354276</x:v>
      </x:c>
      <x:c r="F34" t="n">
        <x:v>8.096393117317302</x:v>
      </x:c>
      <x:c r="G34" t="n">
        <x:v>6.24602076552158</x:v>
      </x:c>
      <x:c r="H34" t="n">
        <x:v>3.0420534409618316</x:v>
      </x:c>
      <x:c r="I34" t="n">
        <x:v>11.435905533076905</x:v>
      </x:c>
    </x:row>
    <x:row r="35">
      <x:c r="A35" t="str">
        <x:v>p_dl_max</x:v>
      </x:c>
      <x:c r="B35" t="n">
        <x:v>1.5</x:v>
      </x:c>
      <x:c r="C35" t="n">
        <x:v>8004</x:v>
      </x:c>
      <x:c r="D35" t="n">
        <x:v>8.99243716624623</x:v>
      </x:c>
      <x:c r="E35" t="n">
        <x:v>10.703370989936285</x:v>
      </x:c>
      <x:c r="F35" t="n">
        <x:v>8.327653789428</x:v>
      </x:c>
      <x:c r="G35" t="n">
        <x:v>5.814355759454855</x:v>
      </x:c>
      <x:c r="H35" t="n">
        <x:v>3.2647717032092762</x:v>
      </x:c>
      <x:c r="I35" t="n">
        <x:v>11.286053801670462</x:v>
      </x:c>
    </x:row>
    <x:row r="36">
      <x:c r="A36" t="str">
        <x:v>p_dl_max</x:v>
      </x:c>
      <x:c r="B36" t="n">
        <x:v>1.5</x:v>
      </x:c>
      <x:c r="C36" t="n">
        <x:v>8005</x:v>
      </x:c>
      <x:c r="D36" t="n">
        <x:v>8.032560746295387</x:v>
      </x:c>
      <x:c r="E36" t="n">
        <x:v>10.012088337396689</x:v>
      </x:c>
      <x:c r="F36" t="n">
        <x:v>8.257740256199073</x:v>
      </x:c>
      <x:c r="G36" t="n">
        <x:v>5.111257416940191</x:v>
      </x:c>
      <x:c r="H36" t="n">
        <x:v>3.2210130828686925</x:v>
      </x:c>
      <x:c r="I36" t="n">
        <x:v>11.051168504749732</x:v>
      </x:c>
    </x:row>
    <x:row r="37">
      <x:c r="A37" t="str">
        <x:v>p_dl_max</x:v>
      </x:c>
      <x:c r="B37" t="n">
        <x:v>1.5</x:v>
      </x:c>
      <x:c r="C37" t="n">
        <x:v>8006</x:v>
      </x:c>
      <x:c r="D37" t="n">
        <x:v>8.531939833890057</x:v>
      </x:c>
      <x:c r="E37" t="n">
        <x:v>10.704102167193533</x:v>
      </x:c>
      <x:c r="F37" t="n">
        <x:v>8.845320021307735</x:v>
      </x:c>
      <x:c r="G37" t="n">
        <x:v>6.289307976297451</x:v>
      </x:c>
      <x:c r="H37" t="n">
        <x:v>3.7746835259349547</x:v>
      </x:c>
      <x:c r="I37" t="n">
        <x:v>11.248920985737083</x:v>
      </x:c>
    </x:row>
    <x:row r="38">
      <x:c r="A38" t="str">
        <x:v>p_dl_max</x:v>
      </x:c>
      <x:c r="B38" t="n">
        <x:v>1.5</x:v>
      </x:c>
      <x:c r="C38" t="n">
        <x:v>8007</x:v>
      </x:c>
      <x:c r="D38" t="n">
        <x:v>8.373086359074208</x:v>
      </x:c>
      <x:c r="E38" t="n">
        <x:v>10.819958748331393</x:v>
      </x:c>
      <x:c r="F38" t="n">
        <x:v>7.916572017013048</x:v>
      </x:c>
      <x:c r="G38" t="n">
        <x:v>6.667098020977198</x:v>
      </x:c>
      <x:c r="H38" t="n">
        <x:v>2.8081264098832195</x:v>
      </x:c>
      <x:c r="I38" t="n">
        <x:v>11.381518757050198</x:v>
      </x:c>
    </x:row>
    <x:row r="39">
      <x:c r="A39" t="str">
        <x:v>p_dl_max</x:v>
      </x:c>
      <x:c r="B39" t="n">
        <x:v>1.5</x:v>
      </x:c>
      <x:c r="C39" t="n">
        <x:v>8008</x:v>
      </x:c>
      <x:c r="D39" t="n">
        <x:v>8.756741654362052</x:v>
      </x:c>
      <x:c r="E39" t="n">
        <x:v>10.674206719348541</x:v>
      </x:c>
      <x:c r="F39" t="n">
        <x:v>8.400244857498114</x:v>
      </x:c>
      <x:c r="G39" t="n">
        <x:v>6.288395087973251</x:v>
      </x:c>
      <x:c r="H39" t="n">
        <x:v>3.2831686940573555</x:v>
      </x:c>
      <x:c r="I39" t="n">
        <x:v>11.169445833665844</x:v>
      </x:c>
    </x:row>
    <x:row r="40">
      <x:c r="A40" t="str">
        <x:v>p_dl_max</x:v>
      </x:c>
      <x:c r="B40" t="n">
        <x:v>1.5</x:v>
      </x:c>
      <x:c r="C40" t="n">
        <x:v>8009</x:v>
      </x:c>
      <x:c r="D40" t="n">
        <x:v>9.160406437054423</x:v>
      </x:c>
      <x:c r="E40" t="n">
        <x:v>10.309189033311151</x:v>
      </x:c>
      <x:c r="F40" t="n">
        <x:v>7.564525836679314</x:v>
      </x:c>
      <x:c r="G40" t="n">
        <x:v>5.933280110310494</x:v>
      </x:c>
      <x:c r="H40" t="n">
        <x:v>2.7480942990421395</x:v>
      </x:c>
      <x:c r="I40" t="n">
        <x:v>11.070385175729692</x:v>
      </x:c>
    </x:row>
    <x:row r="41">
      <x:c r="A41" t="str">
        <x:v>p_dl_max</x:v>
      </x:c>
      <x:c r="B41" t="n">
        <x:v>1.5</x:v>
      </x:c>
      <x:c r="C41" t="n">
        <x:v>8010</x:v>
      </x:c>
      <x:c r="D41" t="n">
        <x:v>8.64709461439411</x:v>
      </x:c>
      <x:c r="E41" t="n">
        <x:v>10.715403303633344</x:v>
      </x:c>
      <x:c r="F41" t="n">
        <x:v>7.779140044794959</x:v>
      </x:c>
      <x:c r="G41" t="n">
        <x:v>6.206202398670136</x:v>
      </x:c>
      <x:c r="H41" t="n">
        <x:v>2.7147370855052313</x:v>
      </x:c>
      <x:c r="I41" t="n">
        <x:v>11.366191502272835</x:v>
      </x:c>
    </x:row>
    <x:row r="42">
      <x:c r="A42" t="str">
        <x:v>p_dl_max</x:v>
      </x:c>
      <x:c r="B42" t="n">
        <x:v>2</x:v>
      </x:c>
      <x:c r="C42" t="n">
        <x:v>8001</x:v>
      </x:c>
      <x:c r="D42" t="n">
        <x:v>8.490662353459111</x:v>
      </x:c>
      <x:c r="E42" t="n">
        <x:v>11.17156288165451</x:v>
      </x:c>
      <x:c r="F42" t="n">
        <x:v>8.416819860231124</x:v>
      </x:c>
      <x:c r="G42" t="n">
        <x:v>6.802702471211452</x:v>
      </x:c>
      <x:c r="H42" t="n">
        <x:v>3.294925884523809</x:v>
      </x:c>
      <x:c r="I42" t="n">
        <x:v>11.357281684117552</x:v>
      </x:c>
    </x:row>
    <x:row r="43">
      <x:c r="A43" t="str">
        <x:v>p_dl_max</x:v>
      </x:c>
      <x:c r="B43" t="n">
        <x:v>2</x:v>
      </x:c>
      <x:c r="C43" t="n">
        <x:v>8002</x:v>
      </x:c>
      <x:c r="D43" t="n">
        <x:v>8.82290503903261</x:v>
      </x:c>
      <x:c r="E43" t="n">
        <x:v>10.889520222132733</x:v>
      </x:c>
      <x:c r="F43" t="n">
        <x:v>8.338084509531868</x:v>
      </x:c>
      <x:c r="G43" t="n">
        <x:v>6.231236072512228</x:v>
      </x:c>
      <x:c r="H43" t="n">
        <x:v>3.0041857766820046</x:v>
      </x:c>
      <x:c r="I43" t="n">
        <x:v>11.43724342157332</x:v>
      </x:c>
    </x:row>
    <x:row r="44">
      <x:c r="A44" t="str">
        <x:v>p_dl_max</x:v>
      </x:c>
      <x:c r="B44" t="n">
        <x:v>2</x:v>
      </x:c>
      <x:c r="C44" t="n">
        <x:v>8003</x:v>
      </x:c>
      <x:c r="D44" t="n">
        <x:v>8.491853020072519</x:v>
      </x:c>
      <x:c r="E44" t="n">
        <x:v>10.935036678986014</x:v>
      </x:c>
      <x:c r="F44" t="n">
        <x:v>8.343262844106597</x:v>
      </x:c>
      <x:c r="G44" t="n">
        <x:v>6.36503096628058</x:v>
      </x:c>
      <x:c r="H44" t="n">
        <x:v>3.1412449920288545</x:v>
      </x:c>
      <x:c r="I44" t="n">
        <x:v>11.57362839326824</x:v>
      </x:c>
    </x:row>
    <x:row r="45">
      <x:c r="A45" t="str">
        <x:v>p_dl_max</x:v>
      </x:c>
      <x:c r="B45" t="n">
        <x:v>2</x:v>
      </x:c>
      <x:c r="C45" t="n">
        <x:v>8004</x:v>
      </x:c>
      <x:c r="D45" t="n">
        <x:v>8.791578370536708</x:v>
      </x:c>
      <x:c r="E45" t="n">
        <x:v>10.303006989045308</x:v>
      </x:c>
      <x:c r="F45" t="n">
        <x:v>8.572406087715764</x:v>
      </x:c>
      <x:c r="G45" t="n">
        <x:v>5.947484194142561</x:v>
      </x:c>
      <x:c r="H45" t="n">
        <x:v>3.358116775669212</x:v>
      </x:c>
      <x:c r="I45" t="n">
        <x:v>11.370768788147005</x:v>
      </x:c>
    </x:row>
    <x:row r="46">
      <x:c r="A46" t="str">
        <x:v>p_dl_max</x:v>
      </x:c>
      <x:c r="B46" t="n">
        <x:v>2</x:v>
      </x:c>
      <x:c r="C46" t="n">
        <x:v>8005</x:v>
      </x:c>
      <x:c r="D46" t="n">
        <x:v>8.84536375922603</x:v>
      </x:c>
      <x:c r="E46" t="n">
        <x:v>9.950419017759625</x:v>
      </x:c>
      <x:c r="F46" t="n">
        <x:v>8.490983870059265</x:v>
      </x:c>
      <x:c r="G46" t="n">
        <x:v>5.244756145016417</x:v>
      </x:c>
      <x:c r="H46" t="n">
        <x:v>3.3269020423945173</x:v>
      </x:c>
      <x:c r="I46" t="n">
        <x:v>11.27815682646241</x:v>
      </x:c>
    </x:row>
    <x:row r="47">
      <x:c r="A47" t="str">
        <x:v>p_dl_max</x:v>
      </x:c>
      <x:c r="B47" t="n">
        <x:v>2</x:v>
      </x:c>
      <x:c r="C47" t="n">
        <x:v>8006</x:v>
      </x:c>
      <x:c r="D47" t="n">
        <x:v>9.008582763991996</x:v>
      </x:c>
      <x:c r="E47" t="n">
        <x:v>10.92694181390843</x:v>
      </x:c>
      <x:c r="F47" t="n">
        <x:v>9.096430367093514</x:v>
      </x:c>
      <x:c r="G47" t="n">
        <x:v>6.426967357580391</x:v>
      </x:c>
      <x:c r="H47" t="n">
        <x:v>3.8801472288962</x:v>
      </x:c>
      <x:c r="I47" t="n">
        <x:v>11.465800868983816</x:v>
      </x:c>
    </x:row>
    <x:row r="48">
      <x:c r="A48" t="str">
        <x:v>p_dl_max</x:v>
      </x:c>
      <x:c r="B48" t="n">
        <x:v>2</x:v>
      </x:c>
      <x:c r="C48" t="n">
        <x:v>8007</x:v>
      </x:c>
      <x:c r="D48" t="n">
        <x:v>8.942157314410771</x:v>
      </x:c>
      <x:c r="E48" t="n">
        <x:v>11.091979435845825</x:v>
      </x:c>
      <x:c r="F48" t="n">
        <x:v>8.11174379107947</x:v>
      </x:c>
      <x:c r="G48" t="n">
        <x:v>6.804761301912813</x:v>
      </x:c>
      <x:c r="H48" t="n">
        <x:v>2.860908778667269</x:v>
      </x:c>
      <x:c r="I48" t="n">
        <x:v>11.625095988806017</x:v>
      </x:c>
    </x:row>
    <x:row r="49">
      <x:c r="A49" t="str">
        <x:v>p_dl_max</x:v>
      </x:c>
      <x:c r="B49" t="n">
        <x:v>2</x:v>
      </x:c>
      <x:c r="C49" t="n">
        <x:v>8008</x:v>
      </x:c>
      <x:c r="D49" t="n">
        <x:v>9.367604253430091</x:v>
      </x:c>
      <x:c r="E49" t="n">
        <x:v>10.941506264418978</x:v>
      </x:c>
      <x:c r="F49" t="n">
        <x:v>8.63046269793994</x:v>
      </x:c>
      <x:c r="G49" t="n">
        <x:v>6.426078511488166</x:v>
      </x:c>
      <x:c r="H49" t="n">
        <x:v>3.3650038952412755</x:v>
      </x:c>
      <x:c r="I49" t="n">
        <x:v>11.407163354751063</x:v>
      </x:c>
    </x:row>
    <x:row r="50">
      <x:c r="A50" t="str">
        <x:v>p_dl_max</x:v>
      </x:c>
      <x:c r="B50" t="n">
        <x:v>2</x:v>
      </x:c>
      <x:c r="C50" t="n">
        <x:v>8009</x:v>
      </x:c>
      <x:c r="D50" t="n">
        <x:v>9.742906970833415</x:v>
      </x:c>
      <x:c r="E50" t="n">
        <x:v>10.52369957235873</x:v>
      </x:c>
      <x:c r="F50" t="n">
        <x:v>7.716190573523873</x:v>
      </x:c>
      <x:c r="G50" t="n">
        <x:v>6.067690393339781</x:v>
      </x:c>
      <x:c r="H50" t="n">
        <x:v>2.7554733091715384</x:v>
      </x:c>
      <x:c r="I50" t="n">
        <x:v>11.30074238285021</x:v>
      </x:c>
    </x:row>
    <x:row r="51">
      <x:c r="A51" t="str">
        <x:v>p_dl_max</x:v>
      </x:c>
      <x:c r="B51" t="n">
        <x:v>2</x:v>
      </x:c>
      <x:c r="C51" t="n">
        <x:v>8010</x:v>
      </x:c>
      <x:c r="D51" t="n">
        <x:v>8.773879973290446</x:v>
      </x:c>
      <x:c r="E51" t="n">
        <x:v>10.944071203784024</x:v>
      </x:c>
      <x:c r="F51" t="n">
        <x:v>7.969659375841729</x:v>
      </x:c>
      <x:c r="G51" t="n">
        <x:v>6.343755672044384</x:v>
      </x:c>
      <x:c r="H51" t="n">
        <x:v>2.760513163174486</x:v>
      </x:c>
      <x:c r="I51" t="n">
        <x:v>11.534631478407519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3.5" hidden="0" customWidth="1"/>
    <x:col min="3" max="3" width="9.380000114440918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1.380000114440918" hidden="0" customWidth="1"/>
  </x:cols>
  <x:sheetData>
    <x:row r="1">
      <x:c r="A1" s="5" t="str">
        <x:v>parameter_name</x:v>
      </x:c>
      <x:c r="B1" s="5" t="str">
        <x:v>parameter_value</x:v>
      </x:c>
      <x:c r="C1" s="5" t="str">
        <x:v>scene_seed</x:v>
      </x:c>
      <x:c r="D1" s="5" t="str">
        <x:v>b1_wsr</x:v>
      </x:c>
      <x:c r="E1" s="5" t="str">
        <x:v>b2_wsr</x:v>
      </x:c>
      <x:c r="F1" s="5" t="str">
        <x:v>b3_wsr</x:v>
      </x:c>
      <x:c r="G1" s="5" t="str">
        <x:v>b4_wsr</x:v>
      </x:c>
      <x:c r="H1" s="5" t="str">
        <x:v>b5_wsr</x:v>
      </x:c>
      <x:c r="I1" s="5" t="str">
        <x:v>proposed_wsr</x:v>
      </x:c>
    </x:row>
    <x:row r="2">
      <x:c r="A2" t="str">
        <x:v>cable_length</x:v>
      </x:c>
      <x:c r="B2" t="n">
        <x:v>0.5</x:v>
      </x:c>
      <x:c r="C2" t="n">
        <x:v>8001</x:v>
      </x:c>
      <x:c r="D2" t="n">
        <x:v>8.37502430007294</x:v>
      </x:c>
      <x:c r="E2" t="n">
        <x:v>10.452049786538387</x:v>
      </x:c>
      <x:c r="F2" t="n">
        <x:v>7.829040627776086</x:v>
      </x:c>
      <x:c r="G2" t="n">
        <x:v>5.904020507739025</x:v>
      </x:c>
      <x:c r="H2" t="n">
        <x:v>3.064073629210867</x:v>
      </x:c>
      <x:c r="I2" t="n">
        <x:v>10.940538785254745</x:v>
      </x:c>
    </x:row>
    <x:row r="3">
      <x:c r="A3" t="str">
        <x:v>cable_length</x:v>
      </x:c>
      <x:c r="B3" t="n">
        <x:v>0.5</x:v>
      </x:c>
      <x:c r="C3" t="n">
        <x:v>8002</x:v>
      </x:c>
      <x:c r="D3" t="n">
        <x:v>9.158554444971275</x:v>
      </x:c>
      <x:c r="E3" t="n">
        <x:v>10.251224675351128</x:v>
      </x:c>
      <x:c r="F3" t="n">
        <x:v>7.8477476482958</x:v>
      </x:c>
      <x:c r="G3" t="n">
        <x:v>5.975424370639583</x:v>
      </x:c>
      <x:c r="H3" t="n">
        <x:v>2.8296714238311704</x:v>
      </x:c>
      <x:c r="I3" t="n">
        <x:v>11.012665824024195</x:v>
      </x:c>
    </x:row>
    <x:row r="4">
      <x:c r="A4" t="str">
        <x:v>cable_length</x:v>
      </x:c>
      <x:c r="B4" t="n">
        <x:v>0.5</x:v>
      </x:c>
      <x:c r="C4" t="n">
        <x:v>8003</x:v>
      </x:c>
      <x:c r="D4" t="n">
        <x:v>8.320144405968225</x:v>
      </x:c>
      <x:c r="E4" t="n">
        <x:v>10.585101854752146</x:v>
      </x:c>
      <x:c r="F4" t="n">
        <x:v>7.756684293644977</x:v>
      </x:c>
      <x:c r="G4" t="n">
        <x:v>6.262281943367222</x:v>
      </x:c>
      <x:c r="H4" t="n">
        <x:v>2.9124599865246585</x:v>
      </x:c>
      <x:c r="I4" t="n">
        <x:v>10.650345330403342</x:v>
      </x:c>
    </x:row>
    <x:row r="5">
      <x:c r="A5" t="str">
        <x:v>cable_length</x:v>
      </x:c>
      <x:c r="B5" t="n">
        <x:v>0.5</x:v>
      </x:c>
      <x:c r="C5" t="n">
        <x:v>8004</x:v>
      </x:c>
      <x:c r="D5" t="n">
        <x:v>8.325367177993034</x:v>
      </x:c>
      <x:c r="E5" t="n">
        <x:v>9.679738377519715</x:v>
      </x:c>
      <x:c r="F5" t="n">
        <x:v>7.992382912026051</x:v>
      </x:c>
      <x:c r="G5" t="n">
        <x:v>5.291024365935096</x:v>
      </x:c>
      <x:c r="H5" t="n">
        <x:v>3.1438241936376388</x:v>
      </x:c>
      <x:c r="I5" t="n">
        <x:v>11.005503881891014</x:v>
      </x:c>
    </x:row>
    <x:row r="6">
      <x:c r="A6" t="str">
        <x:v>cable_length</x:v>
      </x:c>
      <x:c r="B6" t="n">
        <x:v>0.5</x:v>
      </x:c>
      <x:c r="C6" t="n">
        <x:v>8005</x:v>
      </x:c>
      <x:c r="D6" t="n">
        <x:v>8.233627228956703</x:v>
      </x:c>
      <x:c r="E6" t="n">
        <x:v>10.53402017110562</x:v>
      </x:c>
      <x:c r="F6" t="n">
        <x:v>7.939976731540365</x:v>
      </x:c>
      <x:c r="G6" t="n">
        <x:v>6.253227958770909</x:v>
      </x:c>
      <x:c r="H6" t="n">
        <x:v>3.0868306419144025</x:v>
      </x:c>
      <x:c r="I6" t="n">
        <x:v>10.86159393946936</x:v>
      </x:c>
    </x:row>
    <x:row r="7">
      <x:c r="A7" t="str">
        <x:v>cable_length</x:v>
      </x:c>
      <x:c r="B7" t="n">
        <x:v>0.5</x:v>
      </x:c>
      <x:c r="C7" t="n">
        <x:v>8006</x:v>
      </x:c>
      <x:c r="D7" t="n">
        <x:v>8.386926925255572</x:v>
      </x:c>
      <x:c r="E7" t="n">
        <x:v>10.853923046646488</x:v>
      </x:c>
      <x:c r="F7" t="n">
        <x:v>8.492090915038984</x:v>
      </x:c>
      <x:c r="G7" t="n">
        <x:v>6.592975809071032</x:v>
      </x:c>
      <x:c r="H7" t="n">
        <x:v>3.631450939919371</x:v>
      </x:c>
      <x:c r="I7" t="n">
        <x:v>10.901259244842004</x:v>
      </x:c>
    </x:row>
    <x:row r="8">
      <x:c r="A8" t="str">
        <x:v>cable_length</x:v>
      </x:c>
      <x:c r="B8" t="n">
        <x:v>0.5</x:v>
      </x:c>
      <x:c r="C8" t="n">
        <x:v>8007</x:v>
      </x:c>
      <x:c r="D8" t="n">
        <x:v>7.977171535592035</x:v>
      </x:c>
      <x:c r="E8" t="n">
        <x:v>10.628941642759429</x:v>
      </x:c>
      <x:c r="F8" t="n">
        <x:v>7.6571150641465575</x:v>
      </x:c>
      <x:c r="G8" t="n">
        <x:v>6.155123062559268</x:v>
      </x:c>
      <x:c r="H8" t="n">
        <x:v>2.7488065574964424</x:v>
      </x:c>
      <x:c r="I8" t="n">
        <x:v>11.214946014542363</x:v>
      </x:c>
    </x:row>
    <x:row r="9">
      <x:c r="A9" t="str">
        <x:v>cable_length</x:v>
      </x:c>
      <x:c r="B9" t="n">
        <x:v>0.5</x:v>
      </x:c>
      <x:c r="C9" t="n">
        <x:v>8008</x:v>
      </x:c>
      <x:c r="D9" t="n">
        <x:v>8.584278225815087</x:v>
      </x:c>
      <x:c r="E9" t="n">
        <x:v>10.41727511276364</x:v>
      </x:c>
      <x:c r="F9" t="n">
        <x:v>8.075079292381163</x:v>
      </x:c>
      <x:c r="G9" t="n">
        <x:v>6.146033150638477</x:v>
      </x:c>
      <x:c r="H9" t="n">
        <x:v>3.173877878048409</x:v>
      </x:c>
      <x:c r="I9" t="n">
        <x:v>10.869218526005087</x:v>
      </x:c>
    </x:row>
    <x:row r="10">
      <x:c r="A10" t="str">
        <x:v>cable_length</x:v>
      </x:c>
      <x:c r="B10" t="n">
        <x:v>0.5</x:v>
      </x:c>
      <x:c r="C10" t="n">
        <x:v>8009</x:v>
      </x:c>
      <x:c r="D10" t="n">
        <x:v>8.52843862615288</x:v>
      </x:c>
      <x:c r="E10" t="n">
        <x:v>10.382367428082448</x:v>
      </x:c>
      <x:c r="F10" t="n">
        <x:v>7.356989993141457</x:v>
      </x:c>
      <x:c r="G10" t="n">
        <x:v>5.845789489892805</x:v>
      </x:c>
      <x:c r="H10" t="n">
        <x:v>2.74100116434817</x:v>
      </x:c>
      <x:c r="I10" t="n">
        <x:v>10.984424201902334</x:v>
      </x:c>
    </x:row>
    <x:row r="11">
      <x:c r="A11" t="str">
        <x:v>cable_length</x:v>
      </x:c>
      <x:c r="B11" t="n">
        <x:v>0.5</x:v>
      </x:c>
      <x:c r="C11" t="n">
        <x:v>8010</x:v>
      </x:c>
      <x:c r="D11" t="n">
        <x:v>9.915311569805212</x:v>
      </x:c>
      <x:c r="E11" t="n">
        <x:v>10.401909867575757</x:v>
      </x:c>
      <x:c r="F11" t="n">
        <x:v>7.525591242986816</x:v>
      </x:c>
      <x:c r="G11" t="n">
        <x:v>6.151702184445934</x:v>
      </x:c>
      <x:c r="H11" t="n">
        <x:v>2.6640526902436594</x:v>
      </x:c>
      <x:c r="I11" t="n">
        <x:v>10.947045276271911</x:v>
      </x:c>
    </x:row>
    <x:row r="12">
      <x:c r="A12" t="str">
        <x:v>cable_length</x:v>
      </x:c>
      <x:c r="B12" t="n">
        <x:v>0.75</x:v>
      </x:c>
      <x:c r="C12" t="n">
        <x:v>8001</x:v>
      </x:c>
      <x:c r="D12" t="n">
        <x:v>8.187218778380263</x:v>
      </x:c>
      <x:c r="E12" t="n">
        <x:v>10.263774304783801</x:v>
      </x:c>
      <x:c r="F12" t="n">
        <x:v>7.829040627776086</x:v>
      </x:c>
      <x:c r="G12" t="n">
        <x:v>5.712747976491315</x:v>
      </x:c>
      <x:c r="H12" t="n">
        <x:v>3.064073629210867</x:v>
      </x:c>
      <x:c r="I12" t="n">
        <x:v>10.904255127194778</x:v>
      </x:c>
    </x:row>
    <x:row r="13">
      <x:c r="A13" t="str">
        <x:v>cable_length</x:v>
      </x:c>
      <x:c r="B13" t="n">
        <x:v>0.75</x:v>
      </x:c>
      <x:c r="C13" t="n">
        <x:v>8002</x:v>
      </x:c>
      <x:c r="D13" t="n">
        <x:v>8.69760970915011</x:v>
      </x:c>
      <x:c r="E13" t="n">
        <x:v>10.212256462818722</x:v>
      </x:c>
      <x:c r="F13" t="n">
        <x:v>7.8477476482958</x:v>
      </x:c>
      <x:c r="G13" t="n">
        <x:v>6.010725312809138</x:v>
      </x:c>
      <x:c r="H13" t="n">
        <x:v>2.8296714238311704</x:v>
      </x:c>
      <x:c r="I13" t="n">
        <x:v>10.772548916496202</x:v>
      </x:c>
    </x:row>
    <x:row r="14">
      <x:c r="A14" t="str">
        <x:v>cable_length</x:v>
      </x:c>
      <x:c r="B14" t="n">
        <x:v>0.75</x:v>
      </x:c>
      <x:c r="C14" t="n">
        <x:v>8003</x:v>
      </x:c>
      <x:c r="D14" t="n">
        <x:v>8.804294106406541</x:v>
      </x:c>
      <x:c r="E14" t="n">
        <x:v>10.821868332561342</x:v>
      </x:c>
      <x:c r="F14" t="n">
        <x:v>7.756684293644977</x:v>
      </x:c>
      <x:c r="G14" t="n">
        <x:v>6.786451340919626</x:v>
      </x:c>
      <x:c r="H14" t="n">
        <x:v>2.9124599865246585</x:v>
      </x:c>
      <x:c r="I14" t="n">
        <x:v>11.203871625704076</x:v>
      </x:c>
    </x:row>
    <x:row r="15">
      <x:c r="A15" t="str">
        <x:v>cable_length</x:v>
      </x:c>
      <x:c r="B15" t="n">
        <x:v>0.75</x:v>
      </x:c>
      <x:c r="C15" t="n">
        <x:v>8004</x:v>
      </x:c>
      <x:c r="D15" t="n">
        <x:v>8.510223490887554</x:v>
      </x:c>
      <x:c r="E15" t="n">
        <x:v>10.066689787008054</x:v>
      </x:c>
      <x:c r="F15" t="n">
        <x:v>7.992382912026051</x:v>
      </x:c>
      <x:c r="G15" t="n">
        <x:v>5.846738277102098</x:v>
      </x:c>
      <x:c r="H15" t="n">
        <x:v>3.1438241936376388</x:v>
      </x:c>
      <x:c r="I15" t="n">
        <x:v>11.268244288612022</x:v>
      </x:c>
    </x:row>
    <x:row r="16">
      <x:c r="A16" t="str">
        <x:v>cable_length</x:v>
      </x:c>
      <x:c r="B16" t="n">
        <x:v>0.75</x:v>
      </x:c>
      <x:c r="C16" t="n">
        <x:v>8005</x:v>
      </x:c>
      <x:c r="D16" t="n">
        <x:v>8.262940373222744</x:v>
      </x:c>
      <x:c r="E16" t="n">
        <x:v>10.511662141704424</x:v>
      </x:c>
      <x:c r="F16" t="n">
        <x:v>7.939976731540365</x:v>
      </x:c>
      <x:c r="G16" t="n">
        <x:v>6.018679462143234</x:v>
      </x:c>
      <x:c r="H16" t="n">
        <x:v>3.0868306419144025</x:v>
      </x:c>
      <x:c r="I16" t="n">
        <x:v>11.065170436058136</x:v>
      </x:c>
    </x:row>
    <x:row r="17">
      <x:c r="A17" t="str">
        <x:v>cable_length</x:v>
      </x:c>
      <x:c r="B17" t="n">
        <x:v>0.75</x:v>
      </x:c>
      <x:c r="C17" t="n">
        <x:v>8006</x:v>
      </x:c>
      <x:c r="D17" t="n">
        <x:v>9.088072346157139</x:v>
      </x:c>
      <x:c r="E17" t="n">
        <x:v>10.619718875115392</x:v>
      </x:c>
      <x:c r="F17" t="n">
        <x:v>8.492090915038984</x:v>
      </x:c>
      <x:c r="G17" t="n">
        <x:v>6.452817237091898</x:v>
      </x:c>
      <x:c r="H17" t="n">
        <x:v>3.631450939919371</x:v>
      </x:c>
      <x:c r="I17" t="n">
        <x:v>11.235639071987151</x:v>
      </x:c>
    </x:row>
    <x:row r="18">
      <x:c r="A18" t="str">
        <x:v>cable_length</x:v>
      </x:c>
      <x:c r="B18" t="n">
        <x:v>0.75</x:v>
      </x:c>
      <x:c r="C18" t="n">
        <x:v>8007</x:v>
      </x:c>
      <x:c r="D18" t="n">
        <x:v>9.308723698659797</x:v>
      </x:c>
      <x:c r="E18" t="n">
        <x:v>10.727947451856588</x:v>
      </x:c>
      <x:c r="F18" t="n">
        <x:v>7.6571150641465575</x:v>
      </x:c>
      <x:c r="G18" t="n">
        <x:v>6.575345789911237</x:v>
      </x:c>
      <x:c r="H18" t="n">
        <x:v>2.7488065574964424</x:v>
      </x:c>
      <x:c r="I18" t="n">
        <x:v>11.018141887956675</x:v>
      </x:c>
    </x:row>
    <x:row r="19">
      <x:c r="A19" t="str">
        <x:v>cable_length</x:v>
      </x:c>
      <x:c r="B19" t="n">
        <x:v>0.75</x:v>
      </x:c>
      <x:c r="C19" t="n">
        <x:v>8008</x:v>
      </x:c>
      <x:c r="D19" t="n">
        <x:v>7.847250302863452</x:v>
      </x:c>
      <x:c r="E19" t="n">
        <x:v>10.758640602450315</x:v>
      </x:c>
      <x:c r="F19" t="n">
        <x:v>8.075079292381163</x:v>
      </x:c>
      <x:c r="G19" t="n">
        <x:v>6.529690856346097</x:v>
      </x:c>
      <x:c r="H19" t="n">
        <x:v>3.173877878048409</x:v>
      </x:c>
      <x:c r="I19" t="n">
        <x:v>11.029901167305376</x:v>
      </x:c>
    </x:row>
    <x:row r="20">
      <x:c r="A20" t="str">
        <x:v>cable_length</x:v>
      </x:c>
      <x:c r="B20" t="n">
        <x:v>0.75</x:v>
      </x:c>
      <x:c r="C20" t="n">
        <x:v>8009</x:v>
      </x:c>
      <x:c r="D20" t="n">
        <x:v>8.803372886291324</x:v>
      </x:c>
      <x:c r="E20" t="n">
        <x:v>10.561230539208562</x:v>
      </x:c>
      <x:c r="F20" t="n">
        <x:v>7.356989993141457</x:v>
      </x:c>
      <x:c r="G20" t="n">
        <x:v>5.976047285815942</x:v>
      </x:c>
      <x:c r="H20" t="n">
        <x:v>2.74100116434817</x:v>
      </x:c>
      <x:c r="I20" t="n">
        <x:v>10.833246807304732</x:v>
      </x:c>
    </x:row>
    <x:row r="21">
      <x:c r="A21" t="str">
        <x:v>cable_length</x:v>
      </x:c>
      <x:c r="B21" t="n">
        <x:v>0.75</x:v>
      </x:c>
      <x:c r="C21" t="n">
        <x:v>8010</x:v>
      </x:c>
      <x:c r="D21" t="n">
        <x:v>8.230719231964347</x:v>
      </x:c>
      <x:c r="E21" t="n">
        <x:v>10.968181925854124</x:v>
      </x:c>
      <x:c r="F21" t="n">
        <x:v>7.525591242986816</x:v>
      </x:c>
      <x:c r="G21" t="n">
        <x:v>6.345299786095303</x:v>
      </x:c>
      <x:c r="H21" t="n">
        <x:v>2.6640526902436594</x:v>
      </x:c>
      <x:c r="I21" t="n">
        <x:v>11.02454624018869</x:v>
      </x:c>
    </x:row>
    <x:row r="22">
      <x:c r="A22" t="str">
        <x:v>cable_length</x:v>
      </x:c>
      <x:c r="B22" t="n">
        <x:v>1</x:v>
      </x:c>
      <x:c r="C22" t="n">
        <x:v>8001</x:v>
      </x:c>
      <x:c r="D22" t="n">
        <x:v>8.43429716740991</x:v>
      </x:c>
      <x:c r="E22" t="n">
        <x:v>10.59041912411183</x:v>
      </x:c>
      <x:c r="F22" t="n">
        <x:v>7.829040627776086</x:v>
      </x:c>
      <x:c r="G22" t="n">
        <x:v>6.470819119007356</x:v>
      </x:c>
      <x:c r="H22" t="n">
        <x:v>3.064073629210867</x:v>
      </x:c>
      <x:c r="I22" t="n">
        <x:v>11.001612568664072</x:v>
      </x:c>
    </x:row>
    <x:row r="23">
      <x:c r="A23" t="str">
        <x:v>cable_length</x:v>
      </x:c>
      <x:c r="B23" t="n">
        <x:v>1</x:v>
      </x:c>
      <x:c r="C23" t="n">
        <x:v>8002</x:v>
      </x:c>
      <x:c r="D23" t="n">
        <x:v>8.45971634215669</x:v>
      </x:c>
      <x:c r="E23" t="n">
        <x:v>10.314807399880067</x:v>
      </x:c>
      <x:c r="F23" t="n">
        <x:v>7.8477476482958</x:v>
      </x:c>
      <x:c r="G23" t="n">
        <x:v>5.901375616825838</x:v>
      </x:c>
      <x:c r="H23" t="n">
        <x:v>2.8296714238311704</x:v>
      </x:c>
      <x:c r="I23" t="n">
        <x:v>10.859006836214562</x:v>
      </x:c>
    </x:row>
    <x:row r="24">
      <x:c r="A24" t="str">
        <x:v>cable_length</x:v>
      </x:c>
      <x:c r="B24" t="n">
        <x:v>1</x:v>
      </x:c>
      <x:c r="C24" t="n">
        <x:v>8003</x:v>
      </x:c>
      <x:c r="D24" t="n">
        <x:v>8.224625151639021</x:v>
      </x:c>
      <x:c r="E24" t="n">
        <x:v>10.543928866130575</x:v>
      </x:c>
      <x:c r="F24" t="n">
        <x:v>7.756684293644977</x:v>
      </x:c>
      <x:c r="G24" t="n">
        <x:v>6.082949773946507</x:v>
      </x:c>
      <x:c r="H24" t="n">
        <x:v>2.9124599865246585</x:v>
      </x:c>
      <x:c r="I24" t="n">
        <x:v>11.012617056214117</x:v>
      </x:c>
    </x:row>
    <x:row r="25">
      <x:c r="A25" t="str">
        <x:v>cable_length</x:v>
      </x:c>
      <x:c r="B25" t="n">
        <x:v>1</x:v>
      </x:c>
      <x:c r="C25" t="n">
        <x:v>8004</x:v>
      </x:c>
      <x:c r="D25" t="n">
        <x:v>9.110881043093562</x:v>
      </x:c>
      <x:c r="E25" t="n">
        <x:v>10.372249677914883</x:v>
      </x:c>
      <x:c r="F25" t="n">
        <x:v>7.992382912026051</x:v>
      </x:c>
      <x:c r="G25" t="n">
        <x:v>5.629510711258833</x:v>
      </x:c>
      <x:c r="H25" t="n">
        <x:v>3.1438241936376388</x:v>
      </x:c>
      <x:c r="I25" t="n">
        <x:v>10.966976979653285</x:v>
      </x:c>
    </x:row>
    <x:row r="26">
      <x:c r="A26" t="str">
        <x:v>cable_length</x:v>
      </x:c>
      <x:c r="B26" t="n">
        <x:v>1</x:v>
      </x:c>
      <x:c r="C26" t="n">
        <x:v>8005</x:v>
      </x:c>
      <x:c r="D26" t="n">
        <x:v>7.813596498598386</x:v>
      </x:c>
      <x:c r="E26" t="n">
        <x:v>9.620565006012761</x:v>
      </x:c>
      <x:c r="F26" t="n">
        <x:v>7.939976731540365</x:v>
      </x:c>
      <x:c r="G26" t="n">
        <x:v>4.925853530907535</x:v>
      </x:c>
      <x:c r="H26" t="n">
        <x:v>3.0868306419144025</x:v>
      </x:c>
      <x:c r="I26" t="n">
        <x:v>10.740321753695746</x:v>
      </x:c>
    </x:row>
    <x:row r="27">
      <x:c r="A27" t="str">
        <x:v>cable_length</x:v>
      </x:c>
      <x:c r="B27" t="n">
        <x:v>1</x:v>
      </x:c>
      <x:c r="C27" t="n">
        <x:v>8006</x:v>
      </x:c>
      <x:c r="D27" t="n">
        <x:v>8.519280669503921</x:v>
      </x:c>
      <x:c r="E27" t="n">
        <x:v>10.403253420511806</x:v>
      </x:c>
      <x:c r="F27" t="n">
        <x:v>8.492090915038984</x:v>
      </x:c>
      <x:c r="G27" t="n">
        <x:v>6.095676624859248</x:v>
      </x:c>
      <x:c r="H27" t="n">
        <x:v>3.631450939919371</x:v>
      </x:c>
      <x:c r="I27" t="n">
        <x:v>10.940387534959488</x:v>
      </x:c>
    </x:row>
    <x:row r="28">
      <x:c r="A28" t="str">
        <x:v>cable_length</x:v>
      </x:c>
      <x:c r="B28" t="n">
        <x:v>1</x:v>
      </x:c>
      <x:c r="C28" t="n">
        <x:v>8007</x:v>
      </x:c>
      <x:c r="D28" t="n">
        <x:v>8.10577948524617</x:v>
      </x:c>
      <x:c r="E28" t="n">
        <x:v>10.43980752618208</x:v>
      </x:c>
      <x:c r="F28" t="n">
        <x:v>7.6571150641465575</x:v>
      </x:c>
      <x:c r="G28" t="n">
        <x:v>6.4734569220908895</x:v>
      </x:c>
      <x:c r="H28" t="n">
        <x:v>2.7488065574964424</x:v>
      </x:c>
      <x:c r="I28" t="n">
        <x:v>11.067623029300515</x:v>
      </x:c>
    </x:row>
    <x:row r="29">
      <x:c r="A29" t="str">
        <x:v>cable_length</x:v>
      </x:c>
      <x:c r="B29" t="n">
        <x:v>1</x:v>
      </x:c>
      <x:c r="C29" t="n">
        <x:v>8008</x:v>
      </x:c>
      <x:c r="D29" t="n">
        <x:v>9.514805323193157</x:v>
      </x:c>
      <x:c r="E29" t="n">
        <x:v>10.353345599124468</x:v>
      </x:c>
      <x:c r="F29" t="n">
        <x:v>8.075079292381163</x:v>
      </x:c>
      <x:c r="G29" t="n">
        <x:v>6.094715374080513</x:v>
      </x:c>
      <x:c r="H29" t="n">
        <x:v>3.173877878048409</x:v>
      </x:c>
      <x:c r="I29" t="n">
        <x:v>10.83454477400157</x:v>
      </x:c>
    </x:row>
    <x:row r="30">
      <x:c r="A30" t="str">
        <x:v>cable_length</x:v>
      </x:c>
      <x:c r="B30" t="n">
        <x:v>1</x:v>
      </x:c>
      <x:c r="C30" t="n">
        <x:v>8009</x:v>
      </x:c>
      <x:c r="D30" t="n">
        <x:v>9.220295007760162</x:v>
      </x:c>
      <x:c r="E30" t="n">
        <x:v>10.040128105345016</x:v>
      </x:c>
      <x:c r="F30" t="n">
        <x:v>7.356989993141457</x:v>
      </x:c>
      <x:c r="G30" t="n">
        <x:v>5.7459781752124695</x:v>
      </x:c>
      <x:c r="H30" t="n">
        <x:v>2.74100116434817</x:v>
      </x:c>
      <x:c r="I30" t="n">
        <x:v>10.745833650383386</x:v>
      </x:c>
    </x:row>
    <x:row r="31">
      <x:c r="A31" t="str">
        <x:v>cable_length</x:v>
      </x:c>
      <x:c r="B31" t="n">
        <x:v>1</x:v>
      </x:c>
      <x:c r="C31" t="n">
        <x:v>8010</x:v>
      </x:c>
      <x:c r="D31" t="n">
        <x:v>8.511765131709067</x:v>
      </x:c>
      <x:c r="E31" t="n">
        <x:v>10.400031408270197</x:v>
      </x:c>
      <x:c r="F31" t="n">
        <x:v>7.525591242986816</x:v>
      </x:c>
      <x:c r="G31" t="n">
        <x:v>6.012782631872352</x:v>
      </x:c>
      <x:c r="H31" t="n">
        <x:v>2.6640526902436594</x:v>
      </x:c>
      <x:c r="I31" t="n">
        <x:v>11.003499531616189</x:v>
      </x:c>
    </x:row>
    <x:row r="32">
      <x:c r="A32" t="str">
        <x:v>cable_length</x:v>
      </x:c>
      <x:c r="B32" t="n">
        <x:v>1.25</x:v>
      </x:c>
      <x:c r="C32" t="n">
        <x:v>8001</x:v>
      </x:c>
      <x:c r="D32" t="n">
        <x:v>8.671881731120246</x:v>
      </x:c>
      <x:c r="E32" t="n">
        <x:v>10.457077312330991</x:v>
      </x:c>
      <x:c r="F32" t="n">
        <x:v>7.829040627776086</x:v>
      </x:c>
      <x:c r="G32" t="n">
        <x:v>5.896185281949542</x:v>
      </x:c>
      <x:c r="H32" t="n">
        <x:v>3.064073629210867</x:v>
      </x:c>
      <x:c r="I32" t="n">
        <x:v>10.898865916379403</x:v>
      </x:c>
    </x:row>
    <x:row r="33">
      <x:c r="A33" t="str">
        <x:v>cable_length</x:v>
      </x:c>
      <x:c r="B33" t="n">
        <x:v>1.25</x:v>
      </x:c>
      <x:c r="C33" t="n">
        <x:v>8002</x:v>
      </x:c>
      <x:c r="D33" t="n">
        <x:v>8.518532714783113</x:v>
      </x:c>
      <x:c r="E33" t="n">
        <x:v>10.769601438568055</x:v>
      </x:c>
      <x:c r="F33" t="n">
        <x:v>7.8477476482958</x:v>
      </x:c>
      <x:c r="G33" t="n">
        <x:v>6.400186007601384</x:v>
      </x:c>
      <x:c r="H33" t="n">
        <x:v>2.8296714238311704</x:v>
      </x:c>
      <x:c r="I33" t="n">
        <x:v>10.927544934483363</x:v>
      </x:c>
    </x:row>
    <x:row r="34">
      <x:c r="A34" t="str">
        <x:v>cable_length</x:v>
      </x:c>
      <x:c r="B34" t="n">
        <x:v>1.25</x:v>
      </x:c>
      <x:c r="C34" t="n">
        <x:v>8003</x:v>
      </x:c>
      <x:c r="D34" t="n">
        <x:v>8.72915597618929</x:v>
      </x:c>
      <x:c r="E34" t="n">
        <x:v>10.456898855784342</x:v>
      </x:c>
      <x:c r="F34" t="n">
        <x:v>7.756684293644977</x:v>
      </x:c>
      <x:c r="G34" t="n">
        <x:v>6.225137090989843</x:v>
      </x:c>
      <x:c r="H34" t="n">
        <x:v>2.9124599865246585</x:v>
      </x:c>
      <x:c r="I34" t="n">
        <x:v>11.062949433561839</x:v>
      </x:c>
    </x:row>
    <x:row r="35">
      <x:c r="A35" t="str">
        <x:v>cable_length</x:v>
      </x:c>
      <x:c r="B35" t="n">
        <x:v>1.25</x:v>
      </x:c>
      <x:c r="C35" t="n">
        <x:v>8004</x:v>
      </x:c>
      <x:c r="D35" t="n">
        <x:v>9.035764458467046</x:v>
      </x:c>
      <x:c r="E35" t="n">
        <x:v>10.083282632761787</x:v>
      </x:c>
      <x:c r="F35" t="n">
        <x:v>7.992382912026051</x:v>
      </x:c>
      <x:c r="G35" t="n">
        <x:v>5.780695583243196</x:v>
      </x:c>
      <x:c r="H35" t="n">
        <x:v>3.1438241936376388</x:v>
      </x:c>
      <x:c r="I35" t="n">
        <x:v>10.916125774693588</x:v>
      </x:c>
    </x:row>
    <x:row r="36">
      <x:c r="A36" t="str">
        <x:v>cable_length</x:v>
      </x:c>
      <x:c r="B36" t="n">
        <x:v>1.25</x:v>
      </x:c>
      <x:c r="C36" t="n">
        <x:v>8005</x:v>
      </x:c>
      <x:c r="D36" t="n">
        <x:v>8.691185513649556</x:v>
      </x:c>
      <x:c r="E36" t="n">
        <x:v>10.621776870022845</x:v>
      </x:c>
      <x:c r="F36" t="n">
        <x:v>7.939976731540365</x:v>
      </x:c>
      <x:c r="G36" t="n">
        <x:v>6.314863193630682</x:v>
      </x:c>
      <x:c r="H36" t="n">
        <x:v>3.0868306419144025</x:v>
      </x:c>
      <x:c r="I36" t="n">
        <x:v>10.931810030719255</x:v>
      </x:c>
    </x:row>
    <x:row r="37">
      <x:c r="A37" t="str">
        <x:v>cable_length</x:v>
      </x:c>
      <x:c r="B37" t="n">
        <x:v>1.25</x:v>
      </x:c>
      <x:c r="C37" t="n">
        <x:v>8006</x:v>
      </x:c>
      <x:c r="D37" t="n">
        <x:v>9.343904184880603</x:v>
      </x:c>
      <x:c r="E37" t="n">
        <x:v>10.542366282200295</x:v>
      </x:c>
      <x:c r="F37" t="n">
        <x:v>8.492090915038984</x:v>
      </x:c>
      <x:c r="G37" t="n">
        <x:v>6.51402002753308</x:v>
      </x:c>
      <x:c r="H37" t="n">
        <x:v>3.631450939919371</x:v>
      </x:c>
      <x:c r="I37" t="n">
        <x:v>10.991274900304774</x:v>
      </x:c>
    </x:row>
    <x:row r="38">
      <x:c r="A38" t="str">
        <x:v>cable_length</x:v>
      </x:c>
      <x:c r="B38" t="n">
        <x:v>1.25</x:v>
      </x:c>
      <x:c r="C38" t="n">
        <x:v>8007</x:v>
      </x:c>
      <x:c r="D38" t="n">
        <x:v>9.061366777502464</x:v>
      </x:c>
      <x:c r="E38" t="n">
        <x:v>9.937240367350425</x:v>
      </x:c>
      <x:c r="F38" t="n">
        <x:v>7.6571150641465575</x:v>
      </x:c>
      <x:c r="G38" t="n">
        <x:v>5.519154892655582</x:v>
      </x:c>
      <x:c r="H38" t="n">
        <x:v>2.7488065574964424</x:v>
      </x:c>
      <x:c r="I38" t="n">
        <x:v>11.17911883914533</x:v>
      </x:c>
    </x:row>
    <x:row r="39">
      <x:c r="A39" t="str">
        <x:v>cable_length</x:v>
      </x:c>
      <x:c r="B39" t="n">
        <x:v>1.25</x:v>
      </x:c>
      <x:c r="C39" t="n">
        <x:v>8008</x:v>
      </x:c>
      <x:c r="D39" t="n">
        <x:v>8.078817979511173</x:v>
      </x:c>
      <x:c r="E39" t="n">
        <x:v>10.86301459982313</x:v>
      </x:c>
      <x:c r="F39" t="n">
        <x:v>8.075079292381163</x:v>
      </x:c>
      <x:c r="G39" t="n">
        <x:v>6.529526579732323</x:v>
      </x:c>
      <x:c r="H39" t="n">
        <x:v>3.173877878048409</x:v>
      </x:c>
      <x:c r="I39" t="n">
        <x:v>10.900519801317202</x:v>
      </x:c>
    </x:row>
    <x:row r="40">
      <x:c r="A40" t="str">
        <x:v>cable_length</x:v>
      </x:c>
      <x:c r="B40" t="n">
        <x:v>1.25</x:v>
      </x:c>
      <x:c r="C40" t="n">
        <x:v>8009</x:v>
      </x:c>
      <x:c r="D40" t="n">
        <x:v>8.157566699808195</x:v>
      </x:c>
      <x:c r="E40" t="n">
        <x:v>10.660849286758484</x:v>
      </x:c>
      <x:c r="F40" t="n">
        <x:v>7.356989993141457</x:v>
      </x:c>
      <x:c r="G40" t="n">
        <x:v>6.36638284516172</x:v>
      </x:c>
      <x:c r="H40" t="n">
        <x:v>2.74100116434817</x:v>
      </x:c>
      <x:c r="I40" t="n">
        <x:v>11.13318738657009</x:v>
      </x:c>
    </x:row>
    <x:row r="41">
      <x:c r="A41" t="str">
        <x:v>cable_length</x:v>
      </x:c>
      <x:c r="B41" t="n">
        <x:v>1.25</x:v>
      </x:c>
      <x:c r="C41" t="n">
        <x:v>8010</x:v>
      </x:c>
      <x:c r="D41" t="n">
        <x:v>8.161613018184385</x:v>
      </x:c>
      <x:c r="E41" t="n">
        <x:v>10.55415463163896</x:v>
      </x:c>
      <x:c r="F41" t="n">
        <x:v>7.525591242986816</x:v>
      </x:c>
      <x:c r="G41" t="n">
        <x:v>6.251377764935443</x:v>
      </x:c>
      <x:c r="H41" t="n">
        <x:v>2.6640526902436594</x:v>
      </x:c>
      <x:c r="I41" t="n">
        <x:v>10.994949524532206</x:v>
      </x:c>
    </x:row>
    <x:row r="42">
      <x:c r="A42" t="str">
        <x:v>cable_length</x:v>
      </x:c>
      <x:c r="B42" t="n">
        <x:v>1.5</x:v>
      </x:c>
      <x:c r="C42" t="n">
        <x:v>8001</x:v>
      </x:c>
      <x:c r="D42" t="n">
        <x:v>9.611342697777552</x:v>
      </x:c>
      <x:c r="E42" t="n">
        <x:v>10.478267215365932</x:v>
      </x:c>
      <x:c r="F42" t="n">
        <x:v>7.829040627776086</x:v>
      </x:c>
      <x:c r="G42" t="n">
        <x:v>6.131287417667361</x:v>
      </x:c>
      <x:c r="H42" t="n">
        <x:v>3.064073629210867</x:v>
      </x:c>
      <x:c r="I42" t="n">
        <x:v>10.920638101339543</x:v>
      </x:c>
    </x:row>
    <x:row r="43">
      <x:c r="A43" t="str">
        <x:v>cable_length</x:v>
      </x:c>
      <x:c r="B43" t="n">
        <x:v>1.5</x:v>
      </x:c>
      <x:c r="C43" t="n">
        <x:v>8002</x:v>
      </x:c>
      <x:c r="D43" t="n">
        <x:v>8.62537111945568</x:v>
      </x:c>
      <x:c r="E43" t="n">
        <x:v>10.117517251859962</x:v>
      </x:c>
      <x:c r="F43" t="n">
        <x:v>7.8477476482958</x:v>
      </x:c>
      <x:c r="G43" t="n">
        <x:v>5.800716266420674</x:v>
      </x:c>
      <x:c r="H43" t="n">
        <x:v>2.8296714238311704</x:v>
      </x:c>
      <x:c r="I43" t="n">
        <x:v>10.991683242696883</x:v>
      </x:c>
    </x:row>
    <x:row r="44">
      <x:c r="A44" t="str">
        <x:v>cable_length</x:v>
      </x:c>
      <x:c r="B44" t="n">
        <x:v>1.5</x:v>
      </x:c>
      <x:c r="C44" t="n">
        <x:v>8003</x:v>
      </x:c>
      <x:c r="D44" t="n">
        <x:v>9.009235974267323</x:v>
      </x:c>
      <x:c r="E44" t="n">
        <x:v>10.502170428023108</x:v>
      </x:c>
      <x:c r="F44" t="n">
        <x:v>7.756684293644977</x:v>
      </x:c>
      <x:c r="G44" t="n">
        <x:v>6.294981042539388</x:v>
      </x:c>
      <x:c r="H44" t="n">
        <x:v>2.9124599865246585</x:v>
      </x:c>
      <x:c r="I44" t="n">
        <x:v>11.153164492721478</x:v>
      </x:c>
    </x:row>
    <x:row r="45">
      <x:c r="A45" t="str">
        <x:v>cable_length</x:v>
      </x:c>
      <x:c r="B45" t="n">
        <x:v>1.5</x:v>
      </x:c>
      <x:c r="C45" t="n">
        <x:v>8004</x:v>
      </x:c>
      <x:c r="D45" t="n">
        <x:v>8.781574242252526</x:v>
      </x:c>
      <x:c r="E45" t="n">
        <x:v>10.449230324153536</x:v>
      </x:c>
      <x:c r="F45" t="n">
        <x:v>7.992382912026051</x:v>
      </x:c>
      <x:c r="G45" t="n">
        <x:v>6.377261583783793</x:v>
      </x:c>
      <x:c r="H45" t="n">
        <x:v>3.1438241936376388</x:v>
      </x:c>
      <x:c r="I45" t="n">
        <x:v>10.850935067472678</x:v>
      </x:c>
    </x:row>
    <x:row r="46">
      <x:c r="A46" t="str">
        <x:v>cable_length</x:v>
      </x:c>
      <x:c r="B46" t="n">
        <x:v>1.5</x:v>
      </x:c>
      <x:c r="C46" t="n">
        <x:v>8005</x:v>
      </x:c>
      <x:c r="D46" t="n">
        <x:v>8.779832338239052</x:v>
      </x:c>
      <x:c r="E46" t="n">
        <x:v>11.040093984053385</x:v>
      </x:c>
      <x:c r="F46" t="n">
        <x:v>7.939976731540365</x:v>
      </x:c>
      <x:c r="G46" t="n">
        <x:v>5.949813059085232</x:v>
      </x:c>
      <x:c r="H46" t="n">
        <x:v>3.0868306419144025</x:v>
      </x:c>
      <x:c r="I46" t="n">
        <x:v>11.31389268760737</x:v>
      </x:c>
    </x:row>
    <x:row r="47">
      <x:c r="A47" t="str">
        <x:v>cable_length</x:v>
      </x:c>
      <x:c r="B47" t="n">
        <x:v>1.5</x:v>
      </x:c>
      <x:c r="C47" t="n">
        <x:v>8006</x:v>
      </x:c>
      <x:c r="D47" t="n">
        <x:v>7.738060892672522</x:v>
      </x:c>
      <x:c r="E47" t="n">
        <x:v>10.304037055916966</x:v>
      </x:c>
      <x:c r="F47" t="n">
        <x:v>8.492090915038984</x:v>
      </x:c>
      <x:c r="G47" t="n">
        <x:v>5.746041581600964</x:v>
      </x:c>
      <x:c r="H47" t="n">
        <x:v>3.631450939919371</x:v>
      </x:c>
      <x:c r="I47" t="n">
        <x:v>10.977773896596041</x:v>
      </x:c>
    </x:row>
    <x:row r="48">
      <x:c r="A48" t="str">
        <x:v>cable_length</x:v>
      </x:c>
      <x:c r="B48" t="n">
        <x:v>1.5</x:v>
      </x:c>
      <x:c r="C48" t="n">
        <x:v>8007</x:v>
      </x:c>
      <x:c r="D48" t="n">
        <x:v>8.564543980908223</x:v>
      </x:c>
      <x:c r="E48" t="n">
        <x:v>10.507722603711322</x:v>
      </x:c>
      <x:c r="F48" t="n">
        <x:v>7.6571150641465575</x:v>
      </x:c>
      <x:c r="G48" t="n">
        <x:v>6.091668760522409</x:v>
      </x:c>
      <x:c r="H48" t="n">
        <x:v>2.7488065574964424</x:v>
      </x:c>
      <x:c r="I48" t="n">
        <x:v>11.175415847924999</x:v>
      </x:c>
    </x:row>
    <x:row r="49">
      <x:c r="A49" t="str">
        <x:v>cable_length</x:v>
      </x:c>
      <x:c r="B49" t="n">
        <x:v>1.5</x:v>
      </x:c>
      <x:c r="C49" t="n">
        <x:v>8008</x:v>
      </x:c>
      <x:c r="D49" t="n">
        <x:v>8.37830256790486</x:v>
      </x:c>
      <x:c r="E49" t="n">
        <x:v>10.69081568200501</x:v>
      </x:c>
      <x:c r="F49" t="n">
        <x:v>8.075079292381163</x:v>
      </x:c>
      <x:c r="G49" t="n">
        <x:v>6.121618743726359</x:v>
      </x:c>
      <x:c r="H49" t="n">
        <x:v>3.173877878048409</x:v>
      </x:c>
      <x:c r="I49" t="n">
        <x:v>11.12478895164233</x:v>
      </x:c>
    </x:row>
    <x:row r="50">
      <x:c r="A50" t="str">
        <x:v>cable_length</x:v>
      </x:c>
      <x:c r="B50" t="n">
        <x:v>1.5</x:v>
      </x:c>
      <x:c r="C50" t="n">
        <x:v>8009</x:v>
      </x:c>
      <x:c r="D50" t="n">
        <x:v>8.719297139411005</x:v>
      </x:c>
      <x:c r="E50" t="n">
        <x:v>10.564868819190025</x:v>
      </x:c>
      <x:c r="F50" t="n">
        <x:v>7.356989993141457</x:v>
      </x:c>
      <x:c r="G50" t="n">
        <x:v>6.672108879741356</x:v>
      </x:c>
      <x:c r="H50" t="n">
        <x:v>2.74100116434817</x:v>
      </x:c>
      <x:c r="I50" t="n">
        <x:v>10.859269374666173</x:v>
      </x:c>
    </x:row>
    <x:row r="51">
      <x:c r="A51" t="str">
        <x:v>cable_length</x:v>
      </x:c>
      <x:c r="B51" t="n">
        <x:v>1.5</x:v>
      </x:c>
      <x:c r="C51" t="n">
        <x:v>8010</x:v>
      </x:c>
      <x:c r="D51" t="n">
        <x:v>9.619820554865374</x:v>
      </x:c>
      <x:c r="E51" t="n">
        <x:v>10.386028315150945</x:v>
      </x:c>
      <x:c r="F51" t="n">
        <x:v>7.525591242986816</x:v>
      </x:c>
      <x:c r="G51" t="n">
        <x:v>6.244895393750567</x:v>
      </x:c>
      <x:c r="H51" t="n">
        <x:v>2.6640526902436594</x:v>
      </x:c>
      <x:c r="I51" t="n">
        <x:v>10.852449154217902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1.6299999952316284" hidden="0" customWidth="1"/>
    <x:col min="3" max="3" width="1.5" hidden="0" customWidth="1"/>
    <x:col min="4" max="4" width="1.5" hidden="0" customWidth="1"/>
    <x:col min="5" max="5" width="3.25" hidden="0" customWidth="1"/>
    <x:col min="6" max="6" width="9.380000114440918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1.380000114440918" hidden="0" customWidth="1"/>
  </x:cols>
  <x:sheetData>
    <x:row r="1">
      <x:c r="A1" s="5" t="str">
        <x:v>system_load</x:v>
      </x:c>
      <x:c r="B1" s="5" t="str">
        <x:v>K</x:v>
      </x:c>
      <x:c r="C1" s="5" t="str">
        <x:v>J</x:v>
      </x:c>
      <x:c r="D1" s="5" t="str">
        <x:v>L</x:v>
      </x:c>
      <x:c r="E1" s="5" t="str">
        <x:v>R_s</x:v>
      </x:c>
      <x:c r="F1" s="5" t="str">
        <x:v>scene_seed</x:v>
      </x:c>
      <x:c r="G1" s="5" t="str">
        <x:v>b1_wsr</x:v>
      </x:c>
      <x:c r="H1" s="5" t="str">
        <x:v>b2_wsr</x:v>
      </x:c>
      <x:c r="I1" s="5" t="str">
        <x:v>b3_wsr</x:v>
      </x:c>
      <x:c r="J1" s="5" t="str">
        <x:v>b4_wsr</x:v>
      </x:c>
      <x:c r="K1" s="5" t="str">
        <x:v>b5_wsr</x:v>
      </x:c>
      <x:c r="L1" s="5" t="str">
        <x:v>proposed_wsr</x:v>
      </x:c>
    </x:row>
    <x:row r="2">
      <x:c r="A2" t="n">
        <x:v>1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8001</x:v>
      </x:c>
      <x:c r="G2" t="n">
        <x:v>11.300041438643035</x:v>
      </x:c>
      <x:c r="H2" t="n">
        <x:v>11.145353220345317</x:v>
      </x:c>
      <x:c r="I2" t="n">
        <x:v>10.940066792541138</x:v>
      </x:c>
      <x:c r="J2" t="n">
        <x:v>7.904676883922276</x:v>
      </x:c>
      <x:c r="K2" t="n">
        <x:v>6.419369423704005</x:v>
      </x:c>
      <x:c r="L2" t="n">
        <x:v>11.887829463517324</x:v>
      </x:c>
    </x:row>
    <x:row r="3">
      <x:c r="A3" t="n">
        <x:v>1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8002</x:v>
      </x:c>
      <x:c r="G3" t="n">
        <x:v>11.300152506554593</x:v>
      </x:c>
      <x:c r="H3" t="n">
        <x:v>11.221337106481942</x:v>
      </x:c>
      <x:c r="I3" t="n">
        <x:v>10.851519865426122</x:v>
      </x:c>
      <x:c r="J3" t="n">
        <x:v>8.033483949848522</x:v>
      </x:c>
      <x:c r="K3" t="n">
        <x:v>6.20634436528948</x:v>
      </x:c>
      <x:c r="L3" t="n">
        <x:v>11.625265443398941</x:v>
      </x:c>
    </x:row>
    <x:row r="4">
      <x:c r="A4" t="n">
        <x:v>1</x:v>
      </x:c>
      <x:c r="B4" t="n">
        <x:v>1</x:v>
      </x:c>
      <x:c r="C4" t="n">
        <x:v>1</x:v>
      </x:c>
      <x:c r="D4" t="n">
        <x:v>1</x:v>
      </x:c>
      <x:c r="E4" t="n">
        <x:v>1</x:v>
      </x:c>
      <x:c r="F4" t="n">
        <x:v>8003</x:v>
      </x:c>
      <x:c r="G4" t="n">
        <x:v>11.300171114490238</x:v>
      </x:c>
      <x:c r="H4" t="n">
        <x:v>11.178848185893067</x:v>
      </x:c>
      <x:c r="I4" t="n">
        <x:v>10.907084146858331</x:v>
      </x:c>
      <x:c r="J4" t="n">
        <x:v>8.152916188718061</x:v>
      </x:c>
      <x:c r="K4" t="n">
        <x:v>6.613781565389216</x:v>
      </x:c>
      <x:c r="L4" t="n">
        <x:v>11.68092575554751</x:v>
      </x:c>
    </x:row>
    <x:row r="5">
      <x:c r="A5" t="n">
        <x:v>1</x:v>
      </x:c>
      <x:c r="B5" t="n">
        <x:v>1</x:v>
      </x:c>
      <x:c r="C5" t="n">
        <x:v>1</x:v>
      </x:c>
      <x:c r="D5" t="n">
        <x:v>1</x:v>
      </x:c>
      <x:c r="E5" t="n">
        <x:v>1</x:v>
      </x:c>
      <x:c r="F5" t="n">
        <x:v>8004</x:v>
      </x:c>
      <x:c r="G5" t="n">
        <x:v>11.29951699993196</x:v>
      </x:c>
      <x:c r="H5" t="n">
        <x:v>11.17663648839066</x:v>
      </x:c>
      <x:c r="I5" t="n">
        <x:v>10.983292748604056</x:v>
      </x:c>
      <x:c r="J5" t="n">
        <x:v>7.802633779967675</x:v>
      </x:c>
      <x:c r="K5" t="n">
        <x:v>6.544089954466845</x:v>
      </x:c>
      <x:c r="L5" t="n">
        <x:v>11.909650949354827</x:v>
      </x:c>
    </x:row>
    <x:row r="6">
      <x:c r="A6" t="n">
        <x:v>1</x:v>
      </x:c>
      <x:c r="B6" t="n">
        <x:v>1</x:v>
      </x:c>
      <x:c r="C6" t="n">
        <x:v>1</x:v>
      </x:c>
      <x:c r="D6" t="n">
        <x:v>1</x:v>
      </x:c>
      <x:c r="E6" t="n">
        <x:v>1</x:v>
      </x:c>
      <x:c r="F6" t="n">
        <x:v>8005</x:v>
      </x:c>
      <x:c r="G6" t="n">
        <x:v>11.3001374488726</x:v>
      </x:c>
      <x:c r="H6" t="n">
        <x:v>11.247863079442684</x:v>
      </x:c>
      <x:c r="I6" t="n">
        <x:v>10.897386586005805</x:v>
      </x:c>
      <x:c r="J6" t="n">
        <x:v>7.528745671652926</x:v>
      </x:c>
      <x:c r="K6" t="n">
        <x:v>6.368657567438632</x:v>
      </x:c>
      <x:c r="L6" t="n">
        <x:v>12.31485338831408</x:v>
      </x:c>
    </x:row>
    <x:row r="7">
      <x:c r="A7" t="n">
        <x:v>1</x:v>
      </x:c>
      <x:c r="B7" t="n">
        <x:v>1</x:v>
      </x:c>
      <x:c r="C7" t="n">
        <x:v>1</x:v>
      </x:c>
      <x:c r="D7" t="n">
        <x:v>1</x:v>
      </x:c>
      <x:c r="E7" t="n">
        <x:v>1</x:v>
      </x:c>
      <x:c r="F7" t="n">
        <x:v>8006</x:v>
      </x:c>
      <x:c r="G7" t="n">
        <x:v>11.300126964206711</x:v>
      </x:c>
      <x:c r="H7" t="n">
        <x:v>11.229478700576347</x:v>
      </x:c>
      <x:c r="I7" t="n">
        <x:v>10.804246041761782</x:v>
      </x:c>
      <x:c r="J7" t="n">
        <x:v>7.909871411830693</x:v>
      </x:c>
      <x:c r="K7" t="n">
        <x:v>6.7057382040816575</x:v>
      </x:c>
      <x:c r="L7" t="n">
        <x:v>11.956497231623935</x:v>
      </x:c>
    </x:row>
    <x:row r="8">
      <x:c r="A8" t="n">
        <x:v>1</x:v>
      </x:c>
      <x:c r="B8" t="n">
        <x:v>1</x:v>
      </x:c>
      <x:c r="C8" t="n">
        <x:v>1</x:v>
      </x:c>
      <x:c r="D8" t="n">
        <x:v>1</x:v>
      </x:c>
      <x:c r="E8" t="n">
        <x:v>1</x:v>
      </x:c>
      <x:c r="F8" t="n">
        <x:v>8007</x:v>
      </x:c>
      <x:c r="G8" t="n">
        <x:v>11.299541703123374</x:v>
      </x:c>
      <x:c r="H8" t="n">
        <x:v>11.228814873331524</x:v>
      </x:c>
      <x:c r="I8" t="n">
        <x:v>10.753580045767798</x:v>
      </x:c>
      <x:c r="J8" t="n">
        <x:v>8.851934374551913</x:v>
      </x:c>
      <x:c r="K8" t="n">
        <x:v>6.0570447171635955</x:v>
      </x:c>
      <x:c r="L8" t="n">
        <x:v>11.53946148901181</x:v>
      </x:c>
    </x:row>
    <x:row r="9">
      <x:c r="A9" t="n">
        <x:v>1</x:v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8008</x:v>
      </x:c>
      <x:c r="G9" t="n">
        <x:v>11.300191703678882</x:v>
      </x:c>
      <x:c r="H9" t="n">
        <x:v>11.216225952033414</x:v>
      </x:c>
      <x:c r="I9" t="n">
        <x:v>10.936586659938877</x:v>
      </x:c>
      <x:c r="J9" t="n">
        <x:v>7.367457968506904</x:v>
      </x:c>
      <x:c r="K9" t="n">
        <x:v>6.594001481210131</x:v>
      </x:c>
      <x:c r="L9" t="n">
        <x:v>11.932255683147158</x:v>
      </x:c>
    </x:row>
    <x:row r="10">
      <x:c r="A10" t="n">
        <x:v>1</x:v>
      </x:c>
      <x:c r="B10" t="n">
        <x:v>1</x:v>
      </x:c>
      <x:c r="C10" t="n">
        <x:v>1</x:v>
      </x:c>
      <x:c r="D10" t="n">
        <x:v>1</x:v>
      </x:c>
      <x:c r="E10" t="n">
        <x:v>1</x:v>
      </x:c>
      <x:c r="F10" t="n">
        <x:v>8009</x:v>
      </x:c>
      <x:c r="G10" t="n">
        <x:v>11.299594449607824</x:v>
      </x:c>
      <x:c r="H10" t="n">
        <x:v>11.23425472447146</x:v>
      </x:c>
      <x:c r="I10" t="n">
        <x:v>10.798260705227872</x:v>
      </x:c>
      <x:c r="J10" t="n">
        <x:v>7.614708995042005</x:v>
      </x:c>
      <x:c r="K10" t="n">
        <x:v>6.784013294933333</x:v>
      </x:c>
      <x:c r="L10" t="n">
        <x:v>11.948687686209738</x:v>
      </x:c>
    </x:row>
    <x:row r="11">
      <x:c r="A11" t="n">
        <x:v>1</x:v>
      </x:c>
      <x:c r="B11" t="n">
        <x:v>1</x:v>
      </x:c>
      <x:c r="C11" t="n">
        <x:v>1</x:v>
      </x:c>
      <x:c r="D11" t="n">
        <x:v>1</x:v>
      </x:c>
      <x:c r="E11" t="n">
        <x:v>1</x:v>
      </x:c>
      <x:c r="F11" t="n">
        <x:v>8010</x:v>
      </x:c>
      <x:c r="G11" t="n">
        <x:v>11.300179582918883</x:v>
      </x:c>
      <x:c r="H11" t="n">
        <x:v>11.292930150765244</x:v>
      </x:c>
      <x:c r="I11" t="n">
        <x:v>10.804203230954716</x:v>
      </x:c>
      <x:c r="J11" t="n">
        <x:v>8.145151662432923</x:v>
      </x:c>
      <x:c r="K11" t="n">
        <x:v>6.109492335183268</x:v>
      </x:c>
      <x:c r="L11" t="n">
        <x:v>12.01122200603653</x:v>
      </x:c>
    </x:row>
    <x:row r="12">
      <x:c r="A12" t="n">
        <x:v>2</x:v>
      </x:c>
      <x:c r="B12" t="n">
        <x:v>2</x:v>
      </x:c>
      <x:c r="C12" t="n">
        <x:v>2</x:v>
      </x:c>
      <x:c r="D12" t="n">
        <x:v>2</x:v>
      </x:c>
      <x:c r="E12" t="n">
        <x:v>2</x:v>
      </x:c>
      <x:c r="F12" t="n">
        <x:v>8001</x:v>
      </x:c>
      <x:c r="G12" t="n">
        <x:v>8.43429716740991</x:v>
      </x:c>
      <x:c r="H12" t="n">
        <x:v>10.59041912411183</x:v>
      </x:c>
      <x:c r="I12" t="n">
        <x:v>7.829040627776086</x:v>
      </x:c>
      <x:c r="J12" t="n">
        <x:v>6.470819119007356</x:v>
      </x:c>
      <x:c r="K12" t="n">
        <x:v>3.064073629210867</x:v>
      </x:c>
      <x:c r="L12" t="n">
        <x:v>11.001612568664072</x:v>
      </x:c>
    </x:row>
    <x:row r="13">
      <x:c r="A13" t="n">
        <x:v>2</x:v>
      </x:c>
      <x:c r="B13" t="n">
        <x:v>2</x:v>
      </x:c>
      <x:c r="C13" t="n">
        <x:v>2</x:v>
      </x:c>
      <x:c r="D13" t="n">
        <x:v>2</x:v>
      </x:c>
      <x:c r="E13" t="n">
        <x:v>2</x:v>
      </x:c>
      <x:c r="F13" t="n">
        <x:v>8002</x:v>
      </x:c>
      <x:c r="G13" t="n">
        <x:v>8.45971634215669</x:v>
      </x:c>
      <x:c r="H13" t="n">
        <x:v>10.314807399880067</x:v>
      </x:c>
      <x:c r="I13" t="n">
        <x:v>7.8477476482958</x:v>
      </x:c>
      <x:c r="J13" t="n">
        <x:v>5.901375616825838</x:v>
      </x:c>
      <x:c r="K13" t="n">
        <x:v>2.8296714238311704</x:v>
      </x:c>
      <x:c r="L13" t="n">
        <x:v>10.859006836214562</x:v>
      </x:c>
    </x:row>
    <x:row r="14">
      <x:c r="A14" t="n">
        <x:v>2</x:v>
      </x:c>
      <x:c r="B14" t="n">
        <x:v>2</x:v>
      </x:c>
      <x:c r="C14" t="n">
        <x:v>2</x:v>
      </x:c>
      <x:c r="D14" t="n">
        <x:v>2</x:v>
      </x:c>
      <x:c r="E14" t="n">
        <x:v>2</x:v>
      </x:c>
      <x:c r="F14" t="n">
        <x:v>8003</x:v>
      </x:c>
      <x:c r="G14" t="n">
        <x:v>8.224625151639021</x:v>
      </x:c>
      <x:c r="H14" t="n">
        <x:v>10.543928866130575</x:v>
      </x:c>
      <x:c r="I14" t="n">
        <x:v>7.756684293644977</x:v>
      </x:c>
      <x:c r="J14" t="n">
        <x:v>6.082949773946507</x:v>
      </x:c>
      <x:c r="K14" t="n">
        <x:v>2.9124599865246585</x:v>
      </x:c>
      <x:c r="L14" t="n">
        <x:v>11.012617056214117</x:v>
      </x:c>
    </x:row>
    <x:row r="15">
      <x:c r="A15" t="n">
        <x:v>2</x:v>
      </x:c>
      <x:c r="B15" t="n">
        <x:v>2</x:v>
      </x:c>
      <x:c r="C15" t="n">
        <x:v>2</x:v>
      </x:c>
      <x:c r="D15" t="n">
        <x:v>2</x:v>
      </x:c>
      <x:c r="E15" t="n">
        <x:v>2</x:v>
      </x:c>
      <x:c r="F15" t="n">
        <x:v>8004</x:v>
      </x:c>
      <x:c r="G15" t="n">
        <x:v>9.110881043093562</x:v>
      </x:c>
      <x:c r="H15" t="n">
        <x:v>10.372249677914883</x:v>
      </x:c>
      <x:c r="I15" t="n">
        <x:v>7.992382912026051</x:v>
      </x:c>
      <x:c r="J15" t="n">
        <x:v>5.629510711258833</x:v>
      </x:c>
      <x:c r="K15" t="n">
        <x:v>3.1438241936376388</x:v>
      </x:c>
      <x:c r="L15" t="n">
        <x:v>10.966976979653285</x:v>
      </x:c>
    </x:row>
    <x:row r="16">
      <x:c r="A16" t="n">
        <x:v>2</x:v>
      </x:c>
      <x:c r="B16" t="n">
        <x:v>2</x:v>
      </x:c>
      <x:c r="C16" t="n">
        <x:v>2</x:v>
      </x:c>
      <x:c r="D16" t="n">
        <x:v>2</x:v>
      </x:c>
      <x:c r="E16" t="n">
        <x:v>2</x:v>
      </x:c>
      <x:c r="F16" t="n">
        <x:v>8005</x:v>
      </x:c>
      <x:c r="G16" t="n">
        <x:v>7.813596498598386</x:v>
      </x:c>
      <x:c r="H16" t="n">
        <x:v>9.620565006012761</x:v>
      </x:c>
      <x:c r="I16" t="n">
        <x:v>7.939976731540365</x:v>
      </x:c>
      <x:c r="J16" t="n">
        <x:v>4.925853530907535</x:v>
      </x:c>
      <x:c r="K16" t="n">
        <x:v>3.0868306419144025</x:v>
      </x:c>
      <x:c r="L16" t="n">
        <x:v>10.740321753695746</x:v>
      </x:c>
    </x:row>
    <x:row r="17">
      <x:c r="A17" t="n">
        <x:v>2</x:v>
      </x:c>
      <x:c r="B17" t="n">
        <x:v>2</x:v>
      </x:c>
      <x:c r="C17" t="n">
        <x:v>2</x:v>
      </x:c>
      <x:c r="D17" t="n">
        <x:v>2</x:v>
      </x:c>
      <x:c r="E17" t="n">
        <x:v>2</x:v>
      </x:c>
      <x:c r="F17" t="n">
        <x:v>8006</x:v>
      </x:c>
      <x:c r="G17" t="n">
        <x:v>8.519280669503921</x:v>
      </x:c>
      <x:c r="H17" t="n">
        <x:v>10.403253420511806</x:v>
      </x:c>
      <x:c r="I17" t="n">
        <x:v>8.492090915038984</x:v>
      </x:c>
      <x:c r="J17" t="n">
        <x:v>6.095676624859248</x:v>
      </x:c>
      <x:c r="K17" t="n">
        <x:v>3.631450939919371</x:v>
      </x:c>
      <x:c r="L17" t="n">
        <x:v>10.940387534959488</x:v>
      </x:c>
    </x:row>
    <x:row r="18">
      <x:c r="A18" t="n">
        <x:v>2</x:v>
      </x:c>
      <x:c r="B18" t="n">
        <x:v>2</x:v>
      </x:c>
      <x:c r="C18" t="n">
        <x:v>2</x:v>
      </x:c>
      <x:c r="D18" t="n">
        <x:v>2</x:v>
      </x:c>
      <x:c r="E18" t="n">
        <x:v>2</x:v>
      </x:c>
      <x:c r="F18" t="n">
        <x:v>8007</x:v>
      </x:c>
      <x:c r="G18" t="n">
        <x:v>8.10577948524617</x:v>
      </x:c>
      <x:c r="H18" t="n">
        <x:v>10.43980752618208</x:v>
      </x:c>
      <x:c r="I18" t="n">
        <x:v>7.6571150641465575</x:v>
      </x:c>
      <x:c r="J18" t="n">
        <x:v>6.4734569220908895</x:v>
      </x:c>
      <x:c r="K18" t="n">
        <x:v>2.7488065574964424</x:v>
      </x:c>
      <x:c r="L18" t="n">
        <x:v>11.067623029300515</x:v>
      </x:c>
    </x:row>
    <x:row r="19">
      <x:c r="A19" t="n">
        <x:v>2</x:v>
      </x:c>
      <x:c r="B19" t="n">
        <x:v>2</x:v>
      </x:c>
      <x:c r="C19" t="n">
        <x:v>2</x:v>
      </x:c>
      <x:c r="D19" t="n">
        <x:v>2</x:v>
      </x:c>
      <x:c r="E19" t="n">
        <x:v>2</x:v>
      </x:c>
      <x:c r="F19" t="n">
        <x:v>8008</x:v>
      </x:c>
      <x:c r="G19" t="n">
        <x:v>9.514805323193157</x:v>
      </x:c>
      <x:c r="H19" t="n">
        <x:v>10.353345599124468</x:v>
      </x:c>
      <x:c r="I19" t="n">
        <x:v>8.075079292381163</x:v>
      </x:c>
      <x:c r="J19" t="n">
        <x:v>6.094715374080513</x:v>
      </x:c>
      <x:c r="K19" t="n">
        <x:v>3.173877878048409</x:v>
      </x:c>
      <x:c r="L19" t="n">
        <x:v>10.83454477400157</x:v>
      </x:c>
    </x:row>
    <x:row r="20">
      <x:c r="A20" t="n">
        <x:v>2</x:v>
      </x:c>
      <x:c r="B20" t="n">
        <x:v>2</x:v>
      </x:c>
      <x:c r="C20" t="n">
        <x:v>2</x:v>
      </x:c>
      <x:c r="D20" t="n">
        <x:v>2</x:v>
      </x:c>
      <x:c r="E20" t="n">
        <x:v>2</x:v>
      </x:c>
      <x:c r="F20" t="n">
        <x:v>8009</x:v>
      </x:c>
      <x:c r="G20" t="n">
        <x:v>9.220295007760162</x:v>
      </x:c>
      <x:c r="H20" t="n">
        <x:v>10.040128105345016</x:v>
      </x:c>
      <x:c r="I20" t="n">
        <x:v>7.356989993141457</x:v>
      </x:c>
      <x:c r="J20" t="n">
        <x:v>5.7459781752124695</x:v>
      </x:c>
      <x:c r="K20" t="n">
        <x:v>2.74100116434817</x:v>
      </x:c>
      <x:c r="L20" t="n">
        <x:v>10.745833650383386</x:v>
      </x:c>
    </x:row>
    <x:row r="21">
      <x:c r="A21" t="n">
        <x:v>2</x:v>
      </x:c>
      <x:c r="B21" t="n">
        <x:v>2</x:v>
      </x:c>
      <x:c r="C21" t="n">
        <x:v>2</x:v>
      </x:c>
      <x:c r="D21" t="n">
        <x:v>2</x:v>
      </x:c>
      <x:c r="E21" t="n">
        <x:v>2</x:v>
      </x:c>
      <x:c r="F21" t="n">
        <x:v>8010</x:v>
      </x:c>
      <x:c r="G21" t="n">
        <x:v>8.511765131709067</x:v>
      </x:c>
      <x:c r="H21" t="n">
        <x:v>10.400031408270197</x:v>
      </x:c>
      <x:c r="I21" t="n">
        <x:v>7.525591242986816</x:v>
      </x:c>
      <x:c r="J21" t="n">
        <x:v>6.012782631872352</x:v>
      </x:c>
      <x:c r="K21" t="n">
        <x:v>2.6640526902436594</x:v>
      </x:c>
      <x:c r="L21" t="n">
        <x:v>11.003499531616189</x:v>
      </x:c>
    </x:row>
    <x:row r="22">
      <x:c r="A22" t="n">
        <x:v>3</x:v>
      </x:c>
      <x:c r="B22" t="n">
        <x:v>3</x:v>
      </x:c>
      <x:c r="C22" t="n">
        <x:v>3</x:v>
      </x:c>
      <x:c r="D22" t="n">
        <x:v>3</x:v>
      </x:c>
      <x:c r="E22" t="n">
        <x:v>3</x:v>
      </x:c>
      <x:c r="F22" t="n">
        <x:v>8001</x:v>
      </x:c>
      <x:c r="G22" t="n">
        <x:v>5.0286782655618865</x:v>
      </x:c>
      <x:c r="H22" t="n">
        <x:v>7.903683103266187</x:v>
      </x:c>
      <x:c r="I22" t="n">
        <x:v>6.309828402405527</x:v>
      </x:c>
      <x:c r="J22" t="n">
        <x:v>2.400528247038349</x:v>
      </x:c>
      <x:c r="K22" t="n">
        <x:v>2.056503381258773</x:v>
      </x:c>
      <x:c r="L22" t="n">
        <x:v>8.271254090549206</x:v>
      </x:c>
    </x:row>
    <x:row r="23">
      <x:c r="A23" t="n">
        <x:v>3</x:v>
      </x:c>
      <x:c r="B23" t="n">
        <x:v>3</x:v>
      </x:c>
      <x:c r="C23" t="n">
        <x:v>3</x:v>
      </x:c>
      <x:c r="D23" t="n">
        <x:v>3</x:v>
      </x:c>
      <x:c r="E23" t="n">
        <x:v>3</x:v>
      </x:c>
      <x:c r="F23" t="n">
        <x:v>8002</x:v>
      </x:c>
      <x:c r="G23" t="n">
        <x:v>4.664804260073833</x:v>
      </x:c>
      <x:c r="H23" t="n">
        <x:v>7.896974803226408</x:v>
      </x:c>
      <x:c r="I23" t="n">
        <x:v>6.374465786645898</x:v>
      </x:c>
      <x:c r="J23" t="n">
        <x:v>2.262899299326265</x:v>
      </x:c>
      <x:c r="K23" t="n">
        <x:v>2.175824077192066</x:v>
      </x:c>
      <x:c r="L23" t="n">
        <x:v>7.944202728714827</x:v>
      </x:c>
    </x:row>
    <x:row r="24">
      <x:c r="A24" t="n">
        <x:v>3</x:v>
      </x:c>
      <x:c r="B24" t="n">
        <x:v>3</x:v>
      </x:c>
      <x:c r="C24" t="n">
        <x:v>3</x:v>
      </x:c>
      <x:c r="D24" t="n">
        <x:v>3</x:v>
      </x:c>
      <x:c r="E24" t="n">
        <x:v>3</x:v>
      </x:c>
      <x:c r="F24" t="n">
        <x:v>8003</x:v>
      </x:c>
      <x:c r="G24" t="n">
        <x:v>4.751619122311933</x:v>
      </x:c>
      <x:c r="H24" t="n">
        <x:v>7.933255583804256</x:v>
      </x:c>
      <x:c r="I24" t="n">
        <x:v>6.491271286820819</x:v>
      </x:c>
      <x:c r="J24" t="n">
        <x:v>2.195504518866117</x:v>
      </x:c>
      <x:c r="K24" t="n">
        <x:v>2.2262660029368613</x:v>
      </x:c>
      <x:c r="L24" t="n">
        <x:v>8.127729986276497</x:v>
      </x:c>
    </x:row>
    <x:row r="25">
      <x:c r="A25" t="n">
        <x:v>3</x:v>
      </x:c>
      <x:c r="B25" t="n">
        <x:v>3</x:v>
      </x:c>
      <x:c r="C25" t="n">
        <x:v>3</x:v>
      </x:c>
      <x:c r="D25" t="n">
        <x:v>3</x:v>
      </x:c>
      <x:c r="E25" t="n">
        <x:v>3</x:v>
      </x:c>
      <x:c r="F25" t="n">
        <x:v>8004</x:v>
      </x:c>
      <x:c r="G25" t="n">
        <x:v>4.7283422044338135</x:v>
      </x:c>
      <x:c r="H25" t="n">
        <x:v>8.061820987601944</x:v>
      </x:c>
      <x:c r="I25" t="n">
        <x:v>5.243736579510862</x:v>
      </x:c>
      <x:c r="J25" t="n">
        <x:v>2.0162931551211503</x:v>
      </x:c>
      <x:c r="K25" t="n">
        <x:v>2.1847991263805753</x:v>
      </x:c>
      <x:c r="L25" t="n">
        <x:v>8.572897041401776</x:v>
      </x:c>
    </x:row>
    <x:row r="26">
      <x:c r="A26" t="n">
        <x:v>3</x:v>
      </x:c>
      <x:c r="B26" t="n">
        <x:v>3</x:v>
      </x:c>
      <x:c r="C26" t="n">
        <x:v>3</x:v>
      </x:c>
      <x:c r="D26" t="n">
        <x:v>3</x:v>
      </x:c>
      <x:c r="E26" t="n">
        <x:v>3</x:v>
      </x:c>
      <x:c r="F26" t="n">
        <x:v>8005</x:v>
      </x:c>
      <x:c r="G26" t="n">
        <x:v>4.5478223533353255</x:v>
      </x:c>
      <x:c r="H26" t="n">
        <x:v>6.967856351179565</x:v>
      </x:c>
      <x:c r="I26" t="n">
        <x:v>6.199275769388564</x:v>
      </x:c>
      <x:c r="J26" t="n">
        <x:v>1.984833956928462</x:v>
      </x:c>
      <x:c r="K26" t="n">
        <x:v>2.0767397950932143</x:v>
      </x:c>
      <x:c r="L26" t="n">
        <x:v>7.693438212267688</x:v>
      </x:c>
    </x:row>
    <x:row r="27">
      <x:c r="A27" t="n">
        <x:v>3</x:v>
      </x:c>
      <x:c r="B27" t="n">
        <x:v>3</x:v>
      </x:c>
      <x:c r="C27" t="n">
        <x:v>3</x:v>
      </x:c>
      <x:c r="D27" t="n">
        <x:v>3</x:v>
      </x:c>
      <x:c r="E27" t="n">
        <x:v>3</x:v>
      </x:c>
      <x:c r="F27" t="n">
        <x:v>8006</x:v>
      </x:c>
      <x:c r="G27" t="n">
        <x:v>4.325408942614379</x:v>
      </x:c>
      <x:c r="H27" t="n">
        <x:v>7.798496006618976</x:v>
      </x:c>
      <x:c r="I27" t="n">
        <x:v>6.261880674615714</x:v>
      </x:c>
      <x:c r="J27" t="n">
        <x:v>2.402144938569543</x:v>
      </x:c>
      <x:c r="K27" t="n">
        <x:v>2.1016078443005997</x:v>
      </x:c>
      <x:c r="L27" t="n">
        <x:v>8.197141404587981</x:v>
      </x:c>
    </x:row>
    <x:row r="28">
      <x:c r="A28" t="n">
        <x:v>3</x:v>
      </x:c>
      <x:c r="B28" t="n">
        <x:v>3</x:v>
      </x:c>
      <x:c r="C28" t="n">
        <x:v>3</x:v>
      </x:c>
      <x:c r="D28" t="n">
        <x:v>3</x:v>
      </x:c>
      <x:c r="E28" t="n">
        <x:v>3</x:v>
      </x:c>
      <x:c r="F28" t="n">
        <x:v>8007</x:v>
      </x:c>
      <x:c r="G28" t="n">
        <x:v>4.832555721795637</x:v>
      </x:c>
      <x:c r="H28" t="n">
        <x:v>7.56960267873474</x:v>
      </x:c>
      <x:c r="I28" t="n">
        <x:v>5.14976068039239</x:v>
      </x:c>
      <x:c r="J28" t="n">
        <x:v>1.9066953472811354</x:v>
      </x:c>
      <x:c r="K28" t="n">
        <x:v>2.2773382775189104</x:v>
      </x:c>
      <x:c r="L28" t="n">
        <x:v>8.173636120297116</x:v>
      </x:c>
    </x:row>
    <x:row r="29">
      <x:c r="A29" t="n">
        <x:v>3</x:v>
      </x:c>
      <x:c r="B29" t="n">
        <x:v>3</x:v>
      </x:c>
      <x:c r="C29" t="n">
        <x:v>3</x:v>
      </x:c>
      <x:c r="D29" t="n">
        <x:v>3</x:v>
      </x:c>
      <x:c r="E29" t="n">
        <x:v>3</x:v>
      </x:c>
      <x:c r="F29" t="n">
        <x:v>8008</x:v>
      </x:c>
      <x:c r="G29" t="n">
        <x:v>4.805780183766451</x:v>
      </x:c>
      <x:c r="H29" t="n">
        <x:v>7.655891672606019</x:v>
      </x:c>
      <x:c r="I29" t="n">
        <x:v>6.263731491337921</x:v>
      </x:c>
      <x:c r="J29" t="n">
        <x:v>2.205426647625976</x:v>
      </x:c>
      <x:c r="K29" t="n">
        <x:v>1.9156084596995007</x:v>
      </x:c>
      <x:c r="L29" t="n">
        <x:v>7.688614736935373</x:v>
      </x:c>
    </x:row>
    <x:row r="30">
      <x:c r="A30" t="n">
        <x:v>3</x:v>
      </x:c>
      <x:c r="B30" t="n">
        <x:v>3</x:v>
      </x:c>
      <x:c r="C30" t="n">
        <x:v>3</x:v>
      </x:c>
      <x:c r="D30" t="n">
        <x:v>3</x:v>
      </x:c>
      <x:c r="E30" t="n">
        <x:v>3</x:v>
      </x:c>
      <x:c r="F30" t="n">
        <x:v>8009</x:v>
      </x:c>
      <x:c r="G30" t="n">
        <x:v>5.060749581944103</x:v>
      </x:c>
      <x:c r="H30" t="n">
        <x:v>7.387841452033939</x:v>
      </x:c>
      <x:c r="I30" t="n">
        <x:v>6.301592802577243</x:v>
      </x:c>
      <x:c r="J30" t="n">
        <x:v>2.1335758439490218</x:v>
      </x:c>
      <x:c r="K30" t="n">
        <x:v>2.075848886656951</x:v>
      </x:c>
      <x:c r="L30" t="n">
        <x:v>7.939733038834926</x:v>
      </x:c>
    </x:row>
    <x:row r="31">
      <x:c r="A31" t="n">
        <x:v>3</x:v>
      </x:c>
      <x:c r="B31" t="n">
        <x:v>3</x:v>
      </x:c>
      <x:c r="C31" t="n">
        <x:v>3</x:v>
      </x:c>
      <x:c r="D31" t="n">
        <x:v>3</x:v>
      </x:c>
      <x:c r="E31" t="n">
        <x:v>3</x:v>
      </x:c>
      <x:c r="F31" t="n">
        <x:v>8010</x:v>
      </x:c>
      <x:c r="G31" t="n">
        <x:v>5.008842314510407</x:v>
      </x:c>
      <x:c r="H31" t="n">
        <x:v>7.651803951615388</x:v>
      </x:c>
      <x:c r="I31" t="n">
        <x:v>6.2682807722803835</x:v>
      </x:c>
      <x:c r="J31" t="n">
        <x:v>1.8966601912116645</x:v>
      </x:c>
      <x:c r="K31" t="n">
        <x:v>2.037155110716008</x:v>
      </x:c>
      <x:c r="L31" t="n">
        <x:v>8.787243639867995</x:v>
      </x:c>
    </x:row>
  </x:sheetData>
  <x:pageMargins left="0.7" right="0.7" top="0.75" bottom="0.75" header="0.3" footer="0.3"/>
</x:worksheet>
</file>